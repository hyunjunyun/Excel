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Excel\2015지방_2\"/>
    </mc:Choice>
  </mc:AlternateContent>
  <xr:revisionPtr revIDLastSave="0" documentId="13_ncr:1_{20B9097B-8D93-462F-9611-29C5013B85BD}" xr6:coauthVersionLast="45" xr6:coauthVersionMax="45" xr10:uidLastSave="{00000000-0000-0000-0000-000000000000}"/>
  <bookViews>
    <workbookView xWindow="1950" yWindow="1620" windowWidth="13815" windowHeight="14580" firstSheet="1" activeTab="1" xr2:uid="{00000000-000D-0000-FFFF-FFFF00000000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functionGroups builtInGroupCount="19"/>
  <definedNames>
    <definedName name="_xlnm._FilterDatabase" localSheetId="3" hidden="1">보험계약현황!$A$3:$H$1048576</definedName>
    <definedName name="_xlnm.Criteria" localSheetId="3">보험계약현황!$K$3:$K$4</definedName>
    <definedName name="_xlnm.Extract" localSheetId="3">보험계약현황!$M$3:$R$3</definedName>
    <definedName name="수당">영업사원!$I$5:$N$10</definedName>
    <definedName name="직급">영업사원!$H$4:$N$4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4" l="1"/>
  <c r="H5" i="4" s="1"/>
  <c r="I6" i="4"/>
  <c r="H6" i="4" s="1"/>
  <c r="I7" i="4"/>
  <c r="H7" i="4" s="1"/>
  <c r="I8" i="4"/>
  <c r="I9" i="4"/>
  <c r="H9" i="4" s="1"/>
  <c r="I10" i="4"/>
  <c r="H10" i="4" s="1"/>
  <c r="I11" i="4"/>
  <c r="I12" i="4"/>
  <c r="H12" i="4" s="1"/>
  <c r="I13" i="4"/>
  <c r="H13" i="4" s="1"/>
  <c r="I14" i="4"/>
  <c r="H14" i="4" s="1"/>
  <c r="I15" i="4"/>
  <c r="I16" i="4"/>
  <c r="I17" i="4"/>
  <c r="I18" i="4"/>
  <c r="H18" i="4" s="1"/>
  <c r="I19" i="4"/>
  <c r="I20" i="4"/>
  <c r="H20" i="4" s="1"/>
  <c r="I21" i="4"/>
  <c r="H21" i="4" s="1"/>
  <c r="I22" i="4"/>
  <c r="H22" i="4" s="1"/>
  <c r="I23" i="4"/>
  <c r="H23" i="4" s="1"/>
  <c r="I24" i="4"/>
  <c r="I25" i="4"/>
  <c r="H25" i="4" s="1"/>
  <c r="I26" i="4"/>
  <c r="H26" i="4" s="1"/>
  <c r="I27" i="4"/>
  <c r="H27" i="4" s="1"/>
  <c r="I28" i="4"/>
  <c r="H28" i="4" s="1"/>
  <c r="I29" i="4"/>
  <c r="H29" i="4" s="1"/>
  <c r="I30" i="4"/>
  <c r="H30" i="4" s="1"/>
  <c r="I31" i="4"/>
  <c r="I32" i="4"/>
  <c r="I33" i="4"/>
  <c r="H33" i="4" s="1"/>
  <c r="I34" i="4"/>
  <c r="H34" i="4" s="1"/>
  <c r="I35" i="4"/>
  <c r="H35" i="4" s="1"/>
  <c r="I36" i="4"/>
  <c r="H36" i="4" s="1"/>
  <c r="I37" i="4"/>
  <c r="H37" i="4" s="1"/>
  <c r="I38" i="4"/>
  <c r="H38" i="4" s="1"/>
  <c r="I39" i="4"/>
  <c r="I40" i="4"/>
  <c r="I41" i="4"/>
  <c r="H41" i="4" s="1"/>
  <c r="I42" i="4"/>
  <c r="H42" i="4" s="1"/>
  <c r="H8" i="4"/>
  <c r="H11" i="4"/>
  <c r="H15" i="4"/>
  <c r="H16" i="4"/>
  <c r="H17" i="4"/>
  <c r="H19" i="4"/>
  <c r="H24" i="4"/>
  <c r="H31" i="4"/>
  <c r="H32" i="4"/>
  <c r="H39" i="4"/>
  <c r="H40" i="4"/>
  <c r="I4" i="4"/>
  <c r="H4" i="4" s="1"/>
  <c r="G17" i="4"/>
  <c r="G42" i="4"/>
  <c r="G27" i="4"/>
  <c r="G13" i="4"/>
  <c r="G31" i="4"/>
  <c r="G18" i="4"/>
  <c r="G11" i="4"/>
  <c r="G34" i="4"/>
  <c r="G25" i="4"/>
  <c r="G14" i="4"/>
  <c r="G35" i="4"/>
  <c r="G21" i="4"/>
  <c r="G37" i="4"/>
  <c r="G22" i="4"/>
  <c r="G38" i="4"/>
  <c r="G15" i="4"/>
  <c r="G8" i="4"/>
  <c r="G33" i="4"/>
  <c r="G30" i="4"/>
  <c r="G4" i="4"/>
  <c r="G29" i="4"/>
  <c r="G28" i="4"/>
  <c r="G40" i="4"/>
  <c r="G5" i="4"/>
  <c r="G16" i="4"/>
  <c r="G41" i="4"/>
  <c r="G7" i="4"/>
  <c r="G12" i="4"/>
  <c r="G39" i="4"/>
  <c r="G36" i="4"/>
  <c r="G19" i="4"/>
  <c r="G24" i="4"/>
  <c r="G10" i="4"/>
  <c r="G23" i="4"/>
  <c r="G20" i="4"/>
  <c r="G6" i="4"/>
  <c r="G32" i="4"/>
  <c r="G26" i="4"/>
  <c r="G9" i="4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4" i="2"/>
</calcChain>
</file>

<file path=xl/sharedStrings.xml><?xml version="1.0" encoding="utf-8"?>
<sst xmlns="http://schemas.openxmlformats.org/spreadsheetml/2006/main" count="385" uniqueCount="231">
  <si>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</si>
  <si>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</si>
  <si>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</si>
  <si>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</si>
  <si>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</si>
  <si>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S1234</t>
    <phoneticPr fontId="3" type="noConversion"/>
  </si>
  <si>
    <t>대리</t>
  </si>
  <si>
    <t>861219-1******</t>
  </si>
  <si>
    <t>강장환</t>
  </si>
  <si>
    <t>V1265R</t>
    <phoneticPr fontId="3" type="noConversion"/>
  </si>
  <si>
    <t>대리</t>
    <phoneticPr fontId="3" type="noConversion"/>
  </si>
  <si>
    <t>871014-1******</t>
  </si>
  <si>
    <t>신동숙</t>
  </si>
  <si>
    <t>V292S</t>
    <phoneticPr fontId="3" type="noConversion"/>
  </si>
  <si>
    <t>910119-2******</t>
    <phoneticPr fontId="3" type="noConversion"/>
  </si>
  <si>
    <t>이창명</t>
    <phoneticPr fontId="3" type="noConversion"/>
  </si>
  <si>
    <t>P5861X</t>
    <phoneticPr fontId="3" type="noConversion"/>
  </si>
  <si>
    <t>860320-1******</t>
    <phoneticPr fontId="3" type="noConversion"/>
  </si>
  <si>
    <t>채경휘</t>
    <phoneticPr fontId="3" type="noConversion"/>
  </si>
  <si>
    <t>D2678Q</t>
    <phoneticPr fontId="3" type="noConversion"/>
  </si>
  <si>
    <t>860608-1******</t>
    <phoneticPr fontId="3" type="noConversion"/>
  </si>
  <si>
    <t>김길수</t>
    <phoneticPr fontId="3" type="noConversion"/>
  </si>
  <si>
    <t>S2802F</t>
    <phoneticPr fontId="3" type="noConversion"/>
  </si>
  <si>
    <t>부장</t>
    <phoneticPr fontId="3" type="noConversion"/>
  </si>
  <si>
    <t>620119-1******</t>
    <phoneticPr fontId="3" type="noConversion"/>
  </si>
  <si>
    <t>정호돌</t>
    <phoneticPr fontId="3" type="noConversion"/>
  </si>
  <si>
    <t>E1123V</t>
    <phoneticPr fontId="3" type="noConversion"/>
  </si>
  <si>
    <t>과장</t>
    <phoneticPr fontId="3" type="noConversion"/>
  </si>
  <si>
    <t>740415-1*****</t>
    <phoneticPr fontId="3" type="noConversion"/>
  </si>
  <si>
    <t>최현우</t>
    <phoneticPr fontId="3" type="noConversion"/>
  </si>
  <si>
    <t>U3336A</t>
    <phoneticPr fontId="3" type="noConversion"/>
  </si>
  <si>
    <t>이사</t>
    <phoneticPr fontId="3" type="noConversion"/>
  </si>
  <si>
    <t>노찬종</t>
    <phoneticPr fontId="3" type="noConversion"/>
  </si>
  <si>
    <t>U387H</t>
    <phoneticPr fontId="3" type="noConversion"/>
  </si>
  <si>
    <t>이사</t>
  </si>
  <si>
    <t>650315-1*****</t>
    <phoneticPr fontId="3" type="noConversion"/>
  </si>
  <si>
    <t>주청철</t>
    <phoneticPr fontId="3" type="noConversion"/>
  </si>
  <si>
    <t>E4274H</t>
    <phoneticPr fontId="3" type="noConversion"/>
  </si>
  <si>
    <t>차장</t>
    <phoneticPr fontId="3" type="noConversion"/>
  </si>
  <si>
    <t>670725-2*****</t>
    <phoneticPr fontId="3" type="noConversion"/>
  </si>
  <si>
    <t>김호식</t>
    <phoneticPr fontId="3" type="noConversion"/>
  </si>
  <si>
    <t>E7426K</t>
    <phoneticPr fontId="3" type="noConversion"/>
  </si>
  <si>
    <t>681105-2******</t>
  </si>
  <si>
    <t>최영철</t>
    <phoneticPr fontId="3" type="noConversion"/>
  </si>
  <si>
    <t>F2589D</t>
    <phoneticPr fontId="3" type="noConversion"/>
  </si>
  <si>
    <t>701225-1*****</t>
    <phoneticPr fontId="3" type="noConversion"/>
  </si>
  <si>
    <t>황대산</t>
    <phoneticPr fontId="3" type="noConversion"/>
  </si>
  <si>
    <t>F2294V</t>
    <phoneticPr fontId="3" type="noConversion"/>
  </si>
  <si>
    <t>660101-2*****</t>
    <phoneticPr fontId="3" type="noConversion"/>
  </si>
  <si>
    <t>이상건</t>
    <phoneticPr fontId="3" type="noConversion"/>
  </si>
  <si>
    <t>G4980K</t>
    <phoneticPr fontId="3" type="noConversion"/>
  </si>
  <si>
    <t>730228-2*****</t>
    <phoneticPr fontId="3" type="noConversion"/>
  </si>
  <si>
    <t>정태호</t>
    <phoneticPr fontId="3" type="noConversion"/>
  </si>
  <si>
    <t>G9531E</t>
    <phoneticPr fontId="3" type="noConversion"/>
  </si>
  <si>
    <t>761010-1*****</t>
    <phoneticPr fontId="3" type="noConversion"/>
  </si>
  <si>
    <t>김하늘</t>
    <phoneticPr fontId="3" type="noConversion"/>
  </si>
  <si>
    <t>W294S</t>
    <phoneticPr fontId="3" type="noConversion"/>
  </si>
  <si>
    <t>740926-1*****</t>
    <phoneticPr fontId="3" type="noConversion"/>
  </si>
  <si>
    <t>정호김</t>
    <phoneticPr fontId="3" type="noConversion"/>
  </si>
  <si>
    <t>H5774S</t>
    <phoneticPr fontId="3" type="noConversion"/>
  </si>
  <si>
    <t>750511-2*****</t>
    <phoneticPr fontId="3" type="noConversion"/>
  </si>
  <si>
    <t>사원</t>
    <phoneticPr fontId="3" type="noConversion"/>
  </si>
  <si>
    <t>[근무년수/직급별 수당비율]</t>
    <phoneticPr fontId="3" type="noConversion"/>
  </si>
  <si>
    <t>수당비율</t>
    <phoneticPr fontId="3" type="noConversion"/>
  </si>
  <si>
    <t>번호</t>
    <phoneticPr fontId="3" type="noConversion"/>
  </si>
  <si>
    <t>성명</t>
    <phoneticPr fontId="3" type="noConversion"/>
  </si>
  <si>
    <t>생년월일</t>
    <phoneticPr fontId="3" type="noConversion"/>
  </si>
  <si>
    <t>연락처</t>
    <phoneticPr fontId="3" type="noConversion"/>
  </si>
  <si>
    <t>주소</t>
    <phoneticPr fontId="3" type="noConversion"/>
  </si>
  <si>
    <t>회사</t>
    <phoneticPr fontId="3" type="noConversion"/>
  </si>
  <si>
    <t>한일상사</t>
    <phoneticPr fontId="3" type="noConversion"/>
  </si>
  <si>
    <t>S132008</t>
    <phoneticPr fontId="3" type="noConversion"/>
  </si>
  <si>
    <t>이형운</t>
    <phoneticPr fontId="3" type="noConversion"/>
  </si>
  <si>
    <t>010-333-1111</t>
    <phoneticPr fontId="3" type="noConversion"/>
  </si>
  <si>
    <t>부산시 강서구</t>
    <phoneticPr fontId="3" type="noConversion"/>
  </si>
  <si>
    <t>왕성교역</t>
    <phoneticPr fontId="3" type="noConversion"/>
  </si>
  <si>
    <t>S132006</t>
    <phoneticPr fontId="3" type="noConversion"/>
  </si>
  <si>
    <t>김영식</t>
    <phoneticPr fontId="3" type="noConversion"/>
  </si>
  <si>
    <t>051-801-7627</t>
    <phoneticPr fontId="3" type="noConversion"/>
  </si>
  <si>
    <t>부산시 부산진구</t>
    <phoneticPr fontId="3" type="noConversion"/>
  </si>
  <si>
    <t>은하수유통</t>
    <phoneticPr fontId="3" type="noConversion"/>
  </si>
  <si>
    <t>S131989</t>
    <phoneticPr fontId="3" type="noConversion"/>
  </si>
  <si>
    <t>차윤식</t>
    <phoneticPr fontId="3" type="noConversion"/>
  </si>
  <si>
    <t>051-508-8029</t>
    <phoneticPr fontId="3" type="noConversion"/>
  </si>
  <si>
    <t>부산시 남구</t>
    <phoneticPr fontId="3" type="noConversion"/>
  </si>
  <si>
    <t>백두무역</t>
    <phoneticPr fontId="3" type="noConversion"/>
  </si>
  <si>
    <t>S131978</t>
    <phoneticPr fontId="3" type="noConversion"/>
  </si>
  <si>
    <t>이혜신</t>
    <phoneticPr fontId="3" type="noConversion"/>
  </si>
  <si>
    <t>051-321-5949</t>
    <phoneticPr fontId="3" type="noConversion"/>
  </si>
  <si>
    <t>부산시 해운대구</t>
    <phoneticPr fontId="3" type="noConversion"/>
  </si>
  <si>
    <t>신세계상사</t>
    <phoneticPr fontId="3" type="noConversion"/>
  </si>
  <si>
    <t>S131980</t>
    <phoneticPr fontId="3" type="noConversion"/>
  </si>
  <si>
    <t>오유나</t>
    <phoneticPr fontId="3" type="noConversion"/>
  </si>
  <si>
    <t>051-383-4815</t>
    <phoneticPr fontId="3" type="noConversion"/>
  </si>
  <si>
    <t>부산시 북구</t>
    <phoneticPr fontId="3" type="noConversion"/>
  </si>
  <si>
    <t>삼미상사</t>
    <phoneticPr fontId="3" type="noConversion"/>
  </si>
  <si>
    <t>S131981</t>
    <phoneticPr fontId="3" type="noConversion"/>
  </si>
  <si>
    <t>유준상</t>
    <phoneticPr fontId="3" type="noConversion"/>
  </si>
  <si>
    <t>051-355-6344</t>
    <phoneticPr fontId="3" type="noConversion"/>
  </si>
  <si>
    <t>관악유통</t>
    <phoneticPr fontId="3" type="noConversion"/>
  </si>
  <si>
    <t>S131997</t>
    <phoneticPr fontId="3" type="noConversion"/>
  </si>
  <si>
    <t>한영우</t>
    <phoneticPr fontId="3" type="noConversion"/>
  </si>
  <si>
    <t>010-1578-4228</t>
    <phoneticPr fontId="3" type="noConversion"/>
  </si>
  <si>
    <t>대진상사</t>
    <phoneticPr fontId="3" type="noConversion"/>
  </si>
  <si>
    <t>S131999</t>
    <phoneticPr fontId="3" type="noConversion"/>
  </si>
  <si>
    <t>한혜정</t>
    <phoneticPr fontId="3" type="noConversion"/>
  </si>
  <si>
    <t>051-227-4581</t>
    <phoneticPr fontId="3" type="noConversion"/>
  </si>
  <si>
    <t>한빛유통</t>
    <phoneticPr fontId="3" type="noConversion"/>
  </si>
  <si>
    <t>S132001</t>
    <phoneticPr fontId="3" type="noConversion"/>
  </si>
  <si>
    <t>이남주</t>
    <phoneticPr fontId="3" type="noConversion"/>
  </si>
  <si>
    <t>051-540-6425</t>
    <phoneticPr fontId="3" type="noConversion"/>
  </si>
  <si>
    <t>아틀란티스통상</t>
    <phoneticPr fontId="3" type="noConversion"/>
  </si>
  <si>
    <t>S142016</t>
    <phoneticPr fontId="3" type="noConversion"/>
  </si>
  <si>
    <t>천진희</t>
    <phoneticPr fontId="3" type="noConversion"/>
  </si>
  <si>
    <t>010-1132-4628</t>
    <phoneticPr fontId="3" type="noConversion"/>
  </si>
  <si>
    <t>상도무역</t>
    <phoneticPr fontId="3" type="noConversion"/>
  </si>
  <si>
    <t>박영옥</t>
    <phoneticPr fontId="3" type="noConversion"/>
  </si>
  <si>
    <t>051-214-3454</t>
    <phoneticPr fontId="3" type="noConversion"/>
  </si>
  <si>
    <t>서희무역</t>
    <phoneticPr fontId="3" type="noConversion"/>
  </si>
  <si>
    <t>S141989</t>
    <phoneticPr fontId="3" type="noConversion"/>
  </si>
  <si>
    <t>윤다인</t>
    <phoneticPr fontId="3" type="noConversion"/>
  </si>
  <si>
    <t>051-123-4567</t>
    <phoneticPr fontId="3" type="noConversion"/>
  </si>
  <si>
    <t>부산시 동구</t>
    <phoneticPr fontId="3" type="noConversion"/>
  </si>
  <si>
    <t>남해유통</t>
    <phoneticPr fontId="3" type="noConversion"/>
  </si>
  <si>
    <t>S141988</t>
    <phoneticPr fontId="3" type="noConversion"/>
  </si>
  <si>
    <t>김현필</t>
    <phoneticPr fontId="3" type="noConversion"/>
  </si>
  <si>
    <t>051-913-2914</t>
    <phoneticPr fontId="3" type="noConversion"/>
  </si>
  <si>
    <t>태평유통</t>
    <phoneticPr fontId="3" type="noConversion"/>
  </si>
  <si>
    <t>S131986</t>
    <phoneticPr fontId="3" type="noConversion"/>
  </si>
  <si>
    <t>한상민</t>
    <phoneticPr fontId="3" type="noConversion"/>
  </si>
  <si>
    <t>010-5216-0414</t>
    <phoneticPr fontId="3" type="noConversion"/>
  </si>
  <si>
    <t>S142003</t>
    <phoneticPr fontId="3" type="noConversion"/>
  </si>
  <si>
    <t>조시현</t>
    <phoneticPr fontId="3" type="noConversion"/>
  </si>
  <si>
    <t>051-333-1324</t>
    <phoneticPr fontId="3" type="noConversion"/>
  </si>
  <si>
    <t>신세기상사</t>
    <phoneticPr fontId="3" type="noConversion"/>
  </si>
  <si>
    <t>S141994</t>
    <phoneticPr fontId="3" type="noConversion"/>
  </si>
  <si>
    <t>권우진</t>
    <phoneticPr fontId="3" type="noConversion"/>
  </si>
  <si>
    <t>010-123-4567</t>
    <phoneticPr fontId="3" type="noConversion"/>
  </si>
  <si>
    <t>나라백화점</t>
    <phoneticPr fontId="3" type="noConversion"/>
  </si>
  <si>
    <t>박형준</t>
    <phoneticPr fontId="3" type="noConversion"/>
  </si>
  <si>
    <t>011-123-4657</t>
    <phoneticPr fontId="3" type="noConversion"/>
  </si>
  <si>
    <t>양산시 교동</t>
    <phoneticPr fontId="3" type="noConversion"/>
  </si>
  <si>
    <t>S142013</t>
    <phoneticPr fontId="3" type="noConversion"/>
  </si>
  <si>
    <t>김성준</t>
    <phoneticPr fontId="3" type="noConversion"/>
  </si>
  <si>
    <t>010-6456-4567</t>
    <phoneticPr fontId="3" type="noConversion"/>
  </si>
  <si>
    <t>울산시 중구</t>
    <phoneticPr fontId="3" type="noConversion"/>
  </si>
  <si>
    <t>글로벌통상</t>
    <phoneticPr fontId="3" type="noConversion"/>
  </si>
  <si>
    <t>S142014</t>
    <phoneticPr fontId="3" type="noConversion"/>
  </si>
  <si>
    <t>이승현</t>
    <phoneticPr fontId="3" type="noConversion"/>
  </si>
  <si>
    <t>051-223-4321</t>
    <phoneticPr fontId="3" type="noConversion"/>
  </si>
  <si>
    <t>울산시 동구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</si>
  <si>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</si>
  <si>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</si>
  <si>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</si>
  <si>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</si>
  <si>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월보험료</t>
    <phoneticPr fontId="3" type="noConversion"/>
  </si>
  <si>
    <t>담당자</t>
    <phoneticPr fontId="3" type="noConversion"/>
  </si>
  <si>
    <t>S131978</t>
  </si>
  <si>
    <t>종신보험</t>
  </si>
  <si>
    <t>채경휘</t>
  </si>
  <si>
    <t>S131980</t>
  </si>
  <si>
    <t>김길수</t>
  </si>
  <si>
    <t>변액연금보험</t>
  </si>
  <si>
    <t>최영철</t>
  </si>
  <si>
    <t>S131981</t>
  </si>
  <si>
    <t>정호돌</t>
  </si>
  <si>
    <t>연금보험</t>
  </si>
  <si>
    <t>정태호</t>
  </si>
  <si>
    <t>S131986</t>
  </si>
  <si>
    <t>의료실비보험</t>
  </si>
  <si>
    <t>S131989</t>
  </si>
  <si>
    <t>무배당암보험</t>
  </si>
  <si>
    <t>이상건</t>
  </si>
  <si>
    <t>S131997</t>
  </si>
  <si>
    <t>최현우</t>
  </si>
  <si>
    <t>김하늘</t>
  </si>
  <si>
    <t>S131999</t>
  </si>
  <si>
    <t>노찬종</t>
  </si>
  <si>
    <t>정호김</t>
  </si>
  <si>
    <t>S132001</t>
  </si>
  <si>
    <t>주청철</t>
  </si>
  <si>
    <t>여성건강보험</t>
  </si>
  <si>
    <t>S132006</t>
  </si>
  <si>
    <t>김호식</t>
  </si>
  <si>
    <t>S132008</t>
  </si>
  <si>
    <t>S141988</t>
  </si>
  <si>
    <t>S141989</t>
  </si>
  <si>
    <t>황대산</t>
  </si>
  <si>
    <t>S141994</t>
  </si>
  <si>
    <t>이창명</t>
  </si>
  <si>
    <t>S142003</t>
  </si>
  <si>
    <t>S142007</t>
  </si>
  <si>
    <t>정준석</t>
  </si>
  <si>
    <t>S142013</t>
  </si>
  <si>
    <t>S142014</t>
  </si>
  <si>
    <t>S142016</t>
  </si>
  <si>
    <t>영업사원 상세정보</t>
    <phoneticPr fontId="3" type="noConversion"/>
  </si>
  <si>
    <t xml:space="preserve"> 보험계약 관리 화면</t>
    <phoneticPr fontId="3" type="noConversion"/>
  </si>
  <si>
    <t>고객 상세 정보</t>
    <phoneticPr fontId="3" type="noConversion"/>
  </si>
  <si>
    <t>오상석</t>
  </si>
  <si>
    <t>051-223-1234</t>
  </si>
  <si>
    <t>부산시 수영구</t>
  </si>
  <si>
    <t>납입보험료</t>
  </si>
  <si>
    <t>성별</t>
  </si>
  <si>
    <t>여자</t>
  </si>
  <si>
    <t>고객번호</t>
  </si>
  <si>
    <t>보험상품</t>
  </si>
  <si>
    <t>가입금액</t>
  </si>
  <si>
    <t>월보험료</t>
  </si>
  <si>
    <t>담당자</t>
  </si>
  <si>
    <t>가입일</t>
  </si>
  <si>
    <t>2011</t>
  </si>
  <si>
    <t>2012</t>
  </si>
  <si>
    <t>2013</t>
  </si>
  <si>
    <t>2014</t>
  </si>
  <si>
    <t>2009</t>
  </si>
  <si>
    <t>2010</t>
  </si>
  <si>
    <t>10월</t>
  </si>
  <si>
    <t>9월</t>
  </si>
  <si>
    <t>4월</t>
  </si>
  <si>
    <t>8월</t>
  </si>
  <si>
    <t>1월</t>
  </si>
  <si>
    <t>7월</t>
  </si>
  <si>
    <t>11월</t>
  </si>
  <si>
    <t>6월</t>
  </si>
  <si>
    <t>2월</t>
  </si>
  <si>
    <t>5월</t>
  </si>
  <si>
    <t>평균 : 가입금액</t>
  </si>
  <si>
    <t>연</t>
  </si>
  <si>
    <t>개수 : 보험상품</t>
  </si>
  <si>
    <t>보험계약현황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</si>
</sst>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_(* #,##0_);_(* \(#,##0\);_(* &quot;-&quot;_);_(@_)"/>
    <numFmt numFmtId="177" formatCode="_(* #,##0.00_);_(* \(#,##0.00\);_(* &quot;-&quot;??_);_(@_)"/>
    <numFmt numFmtId="178" formatCode="0&quot; 년&quot;"/>
    <numFmt numFmtId="179" formatCode="yyyy\-mm\-dd;@"/>
    <numFmt numFmtId="180" formatCode="0_);[Red]\(0\)"/>
    <numFmt numFmtId="181" formatCode="#,###,,&quot;백만원&quot;"/>
    <numFmt numFmtId="182" formatCode="General&quot;명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2"/>
      <scheme val="minor"/>
    </font>
    <font>
      <b/>
      <sz val="18"/>
      <color theme="1"/>
      <name val="맑은 고딕"/>
      <family val="2"/>
      <scheme val="minor"/>
    </font>
    <font>
      <b/>
      <sz val="16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8" fontId="5" fillId="3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4" fillId="5" borderId="0" xfId="0" applyFont="1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0" fontId="2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8" fillId="0" borderId="0" xfId="0" applyFont="1" applyAlignment="1">
      <alignment vertical="top"/>
    </xf>
    <xf numFmtId="0" fontId="10" fillId="0" borderId="0" xfId="0" applyFont="1" applyAlignment="1">
      <alignment vertical="top"/>
    </xf>
    <xf numFmtId="180" fontId="0" fillId="0" borderId="0" xfId="0" applyNumberFormat="1" applyAlignment="1">
      <alignment horizontal="center" vertical="center"/>
    </xf>
    <xf numFmtId="176" fontId="0" fillId="0" borderId="0" xfId="3" applyNumberFormat="1" applyFont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1" fillId="4" borderId="0" xfId="0" applyFont="1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2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</cellXfs>
  <cellStyles count="4">
    <cellStyle name="백분율" xfId="2" builtinId="5"/>
    <cellStyle name="쉼표" xfId="3" builtinId="3"/>
    <cellStyle name="쉼표 [0]" xfId="1" builtinId="6"/>
    <cellStyle name="표준" xfId="0" builtinId="0"/>
  </cellStyles>
  <dxfs count="6">
    <dxf>
      <numFmt numFmtId="182" formatCode="General&quot;명&quot;"/>
    </dxf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180975</xdr:rowOff>
    </xdr:from>
    <xdr:to>
      <xdr:col>5</xdr:col>
      <xdr:colOff>485775</xdr:colOff>
      <xdr:row>17</xdr:row>
      <xdr:rowOff>200025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5825" y="600075"/>
          <a:ext cx="3028950" cy="3162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180975</xdr:rowOff>
        </xdr:from>
        <xdr:to>
          <xdr:col>4</xdr:col>
          <xdr:colOff>666750</xdr:colOff>
          <xdr:row>5</xdr:row>
          <xdr:rowOff>171450</xdr:rowOff>
        </xdr:to>
        <xdr:sp macro="" textlink="">
          <xdr:nvSpPr>
            <xdr:cNvPr id="2049" name="btn고객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104775</xdr:rowOff>
        </xdr:from>
        <xdr:to>
          <xdr:col>4</xdr:col>
          <xdr:colOff>666750</xdr:colOff>
          <xdr:row>8</xdr:row>
          <xdr:rowOff>95250</xdr:rowOff>
        </xdr:to>
        <xdr:sp macro="" textlink="">
          <xdr:nvSpPr>
            <xdr:cNvPr id="2050" name="btn고객조회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47625</xdr:rowOff>
        </xdr:from>
        <xdr:to>
          <xdr:col>4</xdr:col>
          <xdr:colOff>666750</xdr:colOff>
          <xdr:row>11</xdr:row>
          <xdr:rowOff>38100</xdr:rowOff>
        </xdr:to>
        <xdr:sp macro="" textlink="">
          <xdr:nvSpPr>
            <xdr:cNvPr id="2051" name="btn보험계약관리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28575</xdr:rowOff>
        </xdr:from>
        <xdr:to>
          <xdr:col>4</xdr:col>
          <xdr:colOff>666750</xdr:colOff>
          <xdr:row>14</xdr:row>
          <xdr:rowOff>19050</xdr:rowOff>
        </xdr:to>
        <xdr:sp macro="" textlink="">
          <xdr:nvSpPr>
            <xdr:cNvPr id="2052" name="btn전체계약현황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4</xdr:col>
          <xdr:colOff>676275</xdr:colOff>
          <xdr:row>16</xdr:row>
          <xdr:rowOff>200025</xdr:rowOff>
        </xdr:to>
        <xdr:sp macro="" textlink="">
          <xdr:nvSpPr>
            <xdr:cNvPr id="2053" name="btn종료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정보기술" refreshedDate="44158.891322453703" createdVersion="6" refreshedVersion="6" minRefreshableVersion="3" recordCount="39" xr:uid="{00000000-000A-0000-FFFF-FFFF0D000000}">
  <cacheSource type="worksheet">
    <worksheetSource ref="A3:F42" sheet="보험계약현황"/>
  </cacheSource>
  <cacheFields count="8">
    <cacheField name="고객번호" numFmtId="0">
      <sharedItems count="18">
        <s v="S131978"/>
        <s v="S131980"/>
        <s v="S131981"/>
        <s v="S131986"/>
        <s v="S131989"/>
        <s v="S131997"/>
        <s v="S131999"/>
        <s v="S132001"/>
        <s v="S132006"/>
        <s v="S132008"/>
        <s v="S141988"/>
        <s v="S141989"/>
        <s v="S141994"/>
        <s v="S142003"/>
        <s v="S142007"/>
        <s v="S142013"/>
        <s v="S142014"/>
        <s v="S142016"/>
      </sharedItems>
    </cacheField>
    <cacheField name="보험상품" numFmtId="0">
      <sharedItems count="6">
        <s v="종신보험"/>
        <s v="변액연금보험"/>
        <s v="연금보험"/>
        <s v="의료실비보험"/>
        <s v="무배당암보험"/>
        <s v="여성건강보험"/>
      </sharedItems>
    </cacheField>
    <cacheField name="가입금액" numFmtId="0">
      <sharedItems containsSemiMixedTypes="0" containsString="0" containsNumber="1" containsInteger="1" minValue="10000000" maxValue="250000000"/>
    </cacheField>
    <cacheField name="가입일" numFmtId="179">
      <sharedItems containsSemiMixedTypes="0" containsNonDate="0" containsDate="1" containsString="0" minDate="2009-10-12T00:00:00" maxDate="2014-07-19T00:00:00" count="15">
        <d v="2009-10-12T00:00:00"/>
        <d v="2012-01-30T00:00:00"/>
        <d v="2012-07-28T00:00:00"/>
        <d v="2012-09-26T00:00:00"/>
        <d v="2014-02-18T00:00:00"/>
        <d v="2010-10-07T00:00:00"/>
        <d v="2013-09-21T00:00:00"/>
        <d v="2011-08-03T00:00:00"/>
        <d v="2010-09-07T00:00:00"/>
        <d v="2014-07-18T00:00:00"/>
        <d v="2014-05-19T00:00:00"/>
        <d v="2013-01-24T00:00:00"/>
        <d v="2011-04-05T00:00:00"/>
        <d v="2012-11-25T00:00:00"/>
        <d v="2013-06-23T00:00:00"/>
      </sharedItems>
      <fieldGroup par="7" base="3">
        <rangePr groupBy="months" startDate="2009-10-12T00:00:00" endDate="2014-07-19T00:00:00"/>
        <groupItems count="14">
          <s v="&lt;10/12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9/2014"/>
        </groupItems>
      </fieldGroup>
    </cacheField>
    <cacheField name="월보험료" numFmtId="0">
      <sharedItems containsSemiMixedTypes="0" containsString="0" containsNumber="1" containsInteger="1" minValue="23800" maxValue="434500"/>
    </cacheField>
    <cacheField name="담당자" numFmtId="0">
      <sharedItems count="17">
        <s v="채경휘"/>
        <s v="김길수"/>
        <s v="최영철"/>
        <s v="정호돌"/>
        <s v="정태호"/>
        <s v="강장환"/>
        <s v="이상건"/>
        <s v="최현우"/>
        <s v="김하늘"/>
        <s v="노찬종"/>
        <s v="정호김"/>
        <s v="주청철"/>
        <s v="신동숙"/>
        <s v="김호식"/>
        <s v="황대산"/>
        <s v="이창명"/>
        <s v="정준석"/>
      </sharedItems>
    </cacheField>
    <cacheField name="분기" numFmtId="0" databaseField="0">
      <fieldGroup base="3">
        <rangePr groupBy="quarters" startDate="2009-10-12T00:00:00" endDate="2014-07-19T00:00:00"/>
        <groupItems count="6">
          <s v="&lt;10/12/2009"/>
          <s v="분기1"/>
          <s v="분기2"/>
          <s v="분기3"/>
          <s v="분기4"/>
          <s v="&gt;7/19/2014"/>
        </groupItems>
      </fieldGroup>
    </cacheField>
    <cacheField name="연" numFmtId="0" databaseField="0">
      <fieldGroup base="3">
        <rangePr groupBy="years" startDate="2009-10-12T00:00:00" endDate="2014-07-19T00:00:00"/>
        <groupItems count="8">
          <s v="&lt;10/12/2009"/>
          <s v="2009"/>
          <s v="2010"/>
          <s v="2011"/>
          <s v="2012"/>
          <s v="2013"/>
          <s v="2014"/>
          <s v="&gt;7/19/20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n v="50000000"/>
    <x v="0"/>
    <n v="134000"/>
    <x v="0"/>
  </r>
  <r>
    <x v="0"/>
    <x v="0"/>
    <n v="50000000"/>
    <x v="0"/>
    <n v="134000"/>
    <x v="0"/>
  </r>
  <r>
    <x v="1"/>
    <x v="0"/>
    <n v="70000000"/>
    <x v="1"/>
    <n v="201400"/>
    <x v="1"/>
  </r>
  <r>
    <x v="1"/>
    <x v="1"/>
    <n v="70000000"/>
    <x v="2"/>
    <n v="98000"/>
    <x v="2"/>
  </r>
  <r>
    <x v="2"/>
    <x v="0"/>
    <n v="50000000"/>
    <x v="1"/>
    <n v="134000"/>
    <x v="3"/>
  </r>
  <r>
    <x v="2"/>
    <x v="2"/>
    <n v="80000000"/>
    <x v="3"/>
    <n v="159000"/>
    <x v="4"/>
  </r>
  <r>
    <x v="3"/>
    <x v="3"/>
    <n v="30000000"/>
    <x v="4"/>
    <n v="25200"/>
    <x v="4"/>
  </r>
  <r>
    <x v="3"/>
    <x v="1"/>
    <n v="30000000"/>
    <x v="1"/>
    <n v="98000"/>
    <x v="5"/>
  </r>
  <r>
    <x v="4"/>
    <x v="4"/>
    <n v="20000000"/>
    <x v="1"/>
    <n v="434500"/>
    <x v="2"/>
  </r>
  <r>
    <x v="4"/>
    <x v="1"/>
    <n v="30000000"/>
    <x v="1"/>
    <n v="98000"/>
    <x v="1"/>
  </r>
  <r>
    <x v="4"/>
    <x v="0"/>
    <n v="250000000"/>
    <x v="2"/>
    <n v="340000"/>
    <x v="2"/>
  </r>
  <r>
    <x v="4"/>
    <x v="3"/>
    <n v="30000000"/>
    <x v="4"/>
    <n v="25200"/>
    <x v="6"/>
  </r>
  <r>
    <x v="4"/>
    <x v="4"/>
    <n v="30000000"/>
    <x v="3"/>
    <n v="49800"/>
    <x v="0"/>
  </r>
  <r>
    <x v="5"/>
    <x v="0"/>
    <n v="50000000"/>
    <x v="3"/>
    <n v="120000"/>
    <x v="7"/>
  </r>
  <r>
    <x v="5"/>
    <x v="4"/>
    <n v="150000000"/>
    <x v="0"/>
    <n v="244000"/>
    <x v="8"/>
  </r>
  <r>
    <x v="6"/>
    <x v="4"/>
    <n v="20000000"/>
    <x v="5"/>
    <n v="23800"/>
    <x v="9"/>
  </r>
  <r>
    <x v="6"/>
    <x v="0"/>
    <n v="20000000"/>
    <x v="6"/>
    <n v="34500"/>
    <x v="10"/>
  </r>
  <r>
    <x v="7"/>
    <x v="1"/>
    <n v="30000000"/>
    <x v="3"/>
    <n v="89000"/>
    <x v="11"/>
  </r>
  <r>
    <x v="7"/>
    <x v="5"/>
    <n v="10000000"/>
    <x v="4"/>
    <n v="43200"/>
    <x v="2"/>
  </r>
  <r>
    <x v="8"/>
    <x v="2"/>
    <n v="70000000"/>
    <x v="7"/>
    <n v="167000"/>
    <x v="12"/>
  </r>
  <r>
    <x v="8"/>
    <x v="1"/>
    <n v="50000000"/>
    <x v="3"/>
    <n v="170000"/>
    <x v="13"/>
  </r>
  <r>
    <x v="9"/>
    <x v="2"/>
    <n v="70000000"/>
    <x v="8"/>
    <n v="158000"/>
    <x v="5"/>
  </r>
  <r>
    <x v="9"/>
    <x v="4"/>
    <n v="30000000"/>
    <x v="9"/>
    <n v="38900"/>
    <x v="11"/>
  </r>
  <r>
    <x v="10"/>
    <x v="3"/>
    <n v="30000000"/>
    <x v="3"/>
    <n v="38340"/>
    <x v="6"/>
  </r>
  <r>
    <x v="10"/>
    <x v="0"/>
    <n v="70000000"/>
    <x v="10"/>
    <n v="124700"/>
    <x v="8"/>
  </r>
  <r>
    <x v="11"/>
    <x v="5"/>
    <n v="30000000"/>
    <x v="11"/>
    <n v="71450"/>
    <x v="14"/>
  </r>
  <r>
    <x v="11"/>
    <x v="3"/>
    <n v="20000000"/>
    <x v="4"/>
    <n v="24500"/>
    <x v="4"/>
  </r>
  <r>
    <x v="12"/>
    <x v="3"/>
    <n v="70000000"/>
    <x v="10"/>
    <n v="124700"/>
    <x v="10"/>
  </r>
  <r>
    <x v="12"/>
    <x v="0"/>
    <n v="50000000"/>
    <x v="12"/>
    <n v="124000"/>
    <x v="15"/>
  </r>
  <r>
    <x v="13"/>
    <x v="3"/>
    <n v="20000000"/>
    <x v="4"/>
    <n v="24500"/>
    <x v="8"/>
  </r>
  <r>
    <x v="13"/>
    <x v="2"/>
    <n v="100000000"/>
    <x v="13"/>
    <n v="254000"/>
    <x v="12"/>
  </r>
  <r>
    <x v="14"/>
    <x v="2"/>
    <n v="50000000"/>
    <x v="0"/>
    <n v="95600"/>
    <x v="16"/>
  </r>
  <r>
    <x v="14"/>
    <x v="4"/>
    <n v="30000000"/>
    <x v="3"/>
    <n v="49800"/>
    <x v="9"/>
  </r>
  <r>
    <x v="15"/>
    <x v="2"/>
    <n v="100000000"/>
    <x v="13"/>
    <n v="254000"/>
    <x v="3"/>
  </r>
  <r>
    <x v="15"/>
    <x v="4"/>
    <n v="30000000"/>
    <x v="9"/>
    <n v="38900"/>
    <x v="1"/>
  </r>
  <r>
    <x v="16"/>
    <x v="0"/>
    <n v="50000000"/>
    <x v="12"/>
    <n v="124000"/>
    <x v="7"/>
  </r>
  <r>
    <x v="16"/>
    <x v="1"/>
    <n v="50000000"/>
    <x v="3"/>
    <n v="170000"/>
    <x v="3"/>
  </r>
  <r>
    <x v="17"/>
    <x v="0"/>
    <n v="55000000"/>
    <x v="14"/>
    <n v="112100"/>
    <x v="13"/>
  </r>
  <r>
    <x v="17"/>
    <x v="3"/>
    <n v="30000000"/>
    <x v="3"/>
    <n v="3834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2" cacheId="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compact="0" outline="1" outlineData="1" compactData="0" multipleFieldFilters="0">
  <location ref="T3:W24" firstHeaderRow="0" firstDataRow="1" firstDataCol="2"/>
  <pivotFields count="8">
    <pivotField compact="0"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showAll="0" defaultSubtotal="0">
      <items count="6">
        <item x="4"/>
        <item x="1"/>
        <item x="5"/>
        <item x="2"/>
        <item x="3"/>
        <item x="0"/>
      </items>
    </pivotField>
    <pivotField dataField="1" compact="0" showAll="0" defaultSubtotal="0"/>
    <pivotField axis="axisRow" compact="0" numFmtId="179" showAll="0" defaultSubtotal="0">
      <items count="14">
        <item x="0"/>
        <item n="1월" x="1"/>
        <item n="2월" x="2"/>
        <item x="3"/>
        <item n="4월" x="4"/>
        <item n="5월" x="5"/>
        <item n="6월" x="6"/>
        <item n="7월" x="7"/>
        <item n="8월" x="8"/>
        <item n="9월" x="9"/>
        <item n="10월" x="10"/>
        <item n="11월" x="11"/>
        <item x="12"/>
        <item x="13"/>
      </items>
    </pivotField>
    <pivotField compact="0" showAll="0" defaultSubtotal="0"/>
    <pivotField compact="0" showAll="0" defaultSubtotal="0">
      <items count="17">
        <item x="5"/>
        <item x="1"/>
        <item x="8"/>
        <item x="13"/>
        <item x="9"/>
        <item x="12"/>
        <item x="6"/>
        <item x="15"/>
        <item x="16"/>
        <item x="4"/>
        <item x="10"/>
        <item x="3"/>
        <item x="11"/>
        <item x="0"/>
        <item x="2"/>
        <item x="7"/>
        <item x="14"/>
      </items>
    </pivotField>
    <pivotField compact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showAll="0" defaultSubtotal="0">
      <items count="8">
        <item sd="0" x="0"/>
        <item x="1"/>
        <item x="2"/>
        <item x="3"/>
        <item x="4"/>
        <item x="5"/>
        <item x="6"/>
        <item sd="0" x="7"/>
      </items>
    </pivotField>
  </pivotFields>
  <rowFields count="2">
    <field x="7"/>
    <field x="3"/>
  </rowFields>
  <rowItems count="21">
    <i>
      <x v="1"/>
    </i>
    <i r="1">
      <x v="10"/>
    </i>
    <i>
      <x v="2"/>
    </i>
    <i r="1">
      <x v="9"/>
    </i>
    <i r="1">
      <x v="10"/>
    </i>
    <i>
      <x v="3"/>
    </i>
    <i r="1">
      <x v="4"/>
    </i>
    <i r="1">
      <x v="8"/>
    </i>
    <i>
      <x v="4"/>
    </i>
    <i r="1">
      <x v="1"/>
    </i>
    <i r="1">
      <x v="7"/>
    </i>
    <i r="1">
      <x v="9"/>
    </i>
    <i r="1">
      <x v="11"/>
    </i>
    <i>
      <x v="5"/>
    </i>
    <i r="1">
      <x v="1"/>
    </i>
    <i r="1">
      <x v="6"/>
    </i>
    <i r="1">
      <x v="9"/>
    </i>
    <i>
      <x v="6"/>
    </i>
    <i r="1">
      <x v="2"/>
    </i>
    <i r="1">
      <x v="5"/>
    </i>
    <i r="1">
      <x v="7"/>
    </i>
  </rowItems>
  <colFields count="1">
    <field x="-2"/>
  </colFields>
  <colItems count="2">
    <i>
      <x/>
    </i>
    <i i="1">
      <x v="1"/>
    </i>
  </colItems>
  <dataFields count="2">
    <dataField name="개수 : 보험상품" fld="1" subtotal="count" baseField="0" baseItem="0" numFmtId="182"/>
    <dataField name="평균 : 가입금액" fld="2" subtotal="average" baseField="3" baseItem="10" numFmtId="181"/>
  </dataFields>
  <formats count="1">
    <format dxfId="0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2"/>
  <sheetViews>
    <sheetView workbookViewId="0">
      <selection activeCell="H11" sqref="H11"/>
    </sheetView>
  </sheetViews>
  <sheetFormatPr defaultRowHeight="16.5" x14ac:dyDescent="0.3"/>
  <sheetData>
    <row r="1" spans="2:6" x14ac:dyDescent="0.3">
      <c r="B1" s="26" t="s">
        <v>197</v>
      </c>
      <c r="C1" s="26"/>
      <c r="D1" s="26"/>
      <c r="E1" s="26"/>
      <c r="F1" s="26"/>
    </row>
    <row r="2" spans="2:6" x14ac:dyDescent="0.3">
      <c r="B2" s="26"/>
      <c r="C2" s="26"/>
      <c r="D2" s="26"/>
      <c r="E2" s="26"/>
      <c r="F2" s="26"/>
    </row>
  </sheetData>
  <mergeCells count="1">
    <mergeCell ref="B1:F2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고객등록">
          <controlPr defaultSize="0" autoLine="0" r:id="rId4">
            <anchor moveWithCells="1">
              <from>
                <xdr:col>2</xdr:col>
                <xdr:colOff>19050</xdr:colOff>
                <xdr:row>3</xdr:row>
                <xdr:rowOff>180975</xdr:rowOff>
              </from>
              <to>
                <xdr:col>4</xdr:col>
                <xdr:colOff>666750</xdr:colOff>
                <xdr:row>5</xdr:row>
                <xdr:rowOff>171450</xdr:rowOff>
              </to>
            </anchor>
          </controlPr>
        </control>
      </mc:Choice>
      <mc:Fallback>
        <control shapeId="2049" r:id="rId3" name="btn고객등록"/>
      </mc:Fallback>
    </mc:AlternateContent>
    <mc:AlternateContent xmlns:mc="http://schemas.openxmlformats.org/markup-compatibility/2006">
      <mc:Choice Requires="x14">
        <control shapeId="2050" r:id="rId5" name="btn고객조회">
          <controlPr defaultSize="0" autoLine="0" r:id="rId6">
            <anchor moveWithCells="1">
              <from>
                <xdr:col>2</xdr:col>
                <xdr:colOff>19050</xdr:colOff>
                <xdr:row>6</xdr:row>
                <xdr:rowOff>104775</xdr:rowOff>
              </from>
              <to>
                <xdr:col>4</xdr:col>
                <xdr:colOff>666750</xdr:colOff>
                <xdr:row>8</xdr:row>
                <xdr:rowOff>95250</xdr:rowOff>
              </to>
            </anchor>
          </controlPr>
        </control>
      </mc:Choice>
      <mc:Fallback>
        <control shapeId="2050" r:id="rId5" name="btn고객조회"/>
      </mc:Fallback>
    </mc:AlternateContent>
    <mc:AlternateContent xmlns:mc="http://schemas.openxmlformats.org/markup-compatibility/2006">
      <mc:Choice Requires="x14">
        <control shapeId="2051" r:id="rId7" name="btn보험계약관리">
          <controlPr defaultSize="0" autoLine="0" r:id="rId8">
            <anchor moveWithCells="1">
              <from>
                <xdr:col>2</xdr:col>
                <xdr:colOff>19050</xdr:colOff>
                <xdr:row>9</xdr:row>
                <xdr:rowOff>47625</xdr:rowOff>
              </from>
              <to>
                <xdr:col>4</xdr:col>
                <xdr:colOff>666750</xdr:colOff>
                <xdr:row>11</xdr:row>
                <xdr:rowOff>38100</xdr:rowOff>
              </to>
            </anchor>
          </controlPr>
        </control>
      </mc:Choice>
      <mc:Fallback>
        <control shapeId="2051" r:id="rId7" name="btn보험계약관리"/>
      </mc:Fallback>
    </mc:AlternateContent>
    <mc:AlternateContent xmlns:mc="http://schemas.openxmlformats.org/markup-compatibility/2006">
      <mc:Choice Requires="x14">
        <control shapeId="2052" r:id="rId9" name="btn전체계약현황">
          <controlPr defaultSize="0" autoLine="0" r:id="rId10">
            <anchor moveWithCells="1">
              <from>
                <xdr:col>2</xdr:col>
                <xdr:colOff>19050</xdr:colOff>
                <xdr:row>12</xdr:row>
                <xdr:rowOff>28575</xdr:rowOff>
              </from>
              <to>
                <xdr:col>4</xdr:col>
                <xdr:colOff>666750</xdr:colOff>
                <xdr:row>14</xdr:row>
                <xdr:rowOff>19050</xdr:rowOff>
              </to>
            </anchor>
          </controlPr>
        </control>
      </mc:Choice>
      <mc:Fallback>
        <control shapeId="2052" r:id="rId9" name="btn전체계약현황"/>
      </mc:Fallback>
    </mc:AlternateContent>
    <mc:AlternateContent xmlns:mc="http://schemas.openxmlformats.org/markup-compatibility/2006">
      <mc:Choice Requires="x14">
        <control shapeId="2053" r:id="rId11" name="btn종료">
          <controlPr defaultSize="0" autoLine="0" r:id="rId12">
            <anchor moveWithCells="1">
              <from>
                <xdr:col>2</xdr:col>
                <xdr:colOff>28575</xdr:colOff>
                <xdr:row>15</xdr:row>
                <xdr:rowOff>0</xdr:rowOff>
              </from>
              <to>
                <xdr:col>4</xdr:col>
                <xdr:colOff>676275</xdr:colOff>
                <xdr:row>16</xdr:row>
                <xdr:rowOff>200025</xdr:rowOff>
              </to>
            </anchor>
          </controlPr>
        </control>
      </mc:Choice>
      <mc:Fallback>
        <control shapeId="2053" r:id="rId11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0"/>
  <sheetViews>
    <sheetView showGridLines="0" tabSelected="1" workbookViewId="0">
      <selection activeCell="J17" sqref="J17"/>
    </sheetView>
  </sheetViews>
  <sheetFormatPr defaultRowHeight="16.5" x14ac:dyDescent="0.3"/>
  <cols>
    <col min="3" max="3" width="10.625" customWidth="1"/>
    <col min="4" max="4" width="14.125" bestFit="1" customWidth="1"/>
    <col min="5" max="5" width="11.125" style="12" bestFit="1" customWidth="1"/>
    <col min="6" max="6" width="9" style="9"/>
    <col min="8" max="14" width="8.625" customWidth="1"/>
  </cols>
  <sheetData>
    <row r="1" spans="1:14" ht="26.25" customHeight="1" x14ac:dyDescent="0.3">
      <c r="A1" s="28" t="s">
        <v>196</v>
      </c>
      <c r="B1" s="28"/>
      <c r="C1" s="28"/>
      <c r="D1" s="28"/>
      <c r="E1" s="28"/>
      <c r="F1" s="15"/>
    </row>
    <row r="2" spans="1:14" ht="15" customHeight="1" x14ac:dyDescent="0.3">
      <c r="A2" s="16"/>
      <c r="B2" s="16"/>
      <c r="C2" s="16"/>
      <c r="D2" s="16"/>
      <c r="E2" s="16"/>
      <c r="F2" s="15"/>
    </row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63</v>
      </c>
      <c r="H3" s="27" t="s">
        <v>62</v>
      </c>
      <c r="I3" s="27"/>
      <c r="J3" s="27"/>
    </row>
    <row r="4" spans="1:14" x14ac:dyDescent="0.3">
      <c r="A4" s="8" t="s">
        <v>192</v>
      </c>
      <c r="B4" s="8" t="s">
        <v>5</v>
      </c>
      <c r="C4" t="s">
        <v>6</v>
      </c>
      <c r="D4" t="s">
        <v>7</v>
      </c>
      <c r="E4" s="12">
        <v>40238</v>
      </c>
      <c r="F4" s="9">
        <f t="shared" ref="F4:F20" ca="1" si="0">VLOOKUP(DATEDIF(E4,TODAY(),"y"),$H$4:$N$10,MATCH(C4,직급,0),TRUE)</f>
        <v>0.12</v>
      </c>
      <c r="H4" s="3"/>
      <c r="I4" s="4" t="s">
        <v>61</v>
      </c>
      <c r="J4" s="4" t="s">
        <v>10</v>
      </c>
      <c r="K4" s="4" t="s">
        <v>27</v>
      </c>
      <c r="L4" s="4" t="s">
        <v>38</v>
      </c>
      <c r="M4" s="4" t="s">
        <v>23</v>
      </c>
      <c r="N4" s="4" t="s">
        <v>31</v>
      </c>
    </row>
    <row r="5" spans="1:14" x14ac:dyDescent="0.3">
      <c r="A5" s="8" t="s">
        <v>8</v>
      </c>
      <c r="B5" s="8" t="s">
        <v>9</v>
      </c>
      <c r="C5" t="s">
        <v>10</v>
      </c>
      <c r="D5" t="s">
        <v>11</v>
      </c>
      <c r="E5" s="12">
        <v>40238</v>
      </c>
      <c r="F5" s="9">
        <f t="shared" ca="1" si="0"/>
        <v>0.12</v>
      </c>
      <c r="H5" s="5">
        <v>0</v>
      </c>
      <c r="I5" s="6">
        <v>0.05</v>
      </c>
      <c r="J5" s="6">
        <v>0.06</v>
      </c>
      <c r="K5" s="6">
        <v>0.08</v>
      </c>
      <c r="L5" s="6">
        <v>0.1</v>
      </c>
      <c r="M5" s="6">
        <v>0.13</v>
      </c>
      <c r="N5" s="6">
        <v>0.15</v>
      </c>
    </row>
    <row r="6" spans="1:14" x14ac:dyDescent="0.3">
      <c r="A6" s="8" t="s">
        <v>12</v>
      </c>
      <c r="B6" s="8" t="s">
        <v>13</v>
      </c>
      <c r="C6" t="s">
        <v>6</v>
      </c>
      <c r="D6" t="s">
        <v>14</v>
      </c>
      <c r="E6" s="12">
        <v>41974</v>
      </c>
      <c r="F6" s="9">
        <f t="shared" ca="1" si="0"/>
        <v>0.1</v>
      </c>
      <c r="H6" s="7">
        <v>3</v>
      </c>
      <c r="I6" s="6">
        <v>0.06</v>
      </c>
      <c r="J6" s="6">
        <v>0.08</v>
      </c>
      <c r="K6" s="6">
        <v>0.09</v>
      </c>
      <c r="L6" s="6">
        <v>0.11</v>
      </c>
      <c r="M6" s="6">
        <v>0.14000000000000001</v>
      </c>
      <c r="N6" s="6">
        <v>0.15</v>
      </c>
    </row>
    <row r="7" spans="1:14" x14ac:dyDescent="0.3">
      <c r="A7" s="8" t="s">
        <v>15</v>
      </c>
      <c r="B7" s="8" t="s">
        <v>16</v>
      </c>
      <c r="C7" t="s">
        <v>10</v>
      </c>
      <c r="D7" t="s">
        <v>17</v>
      </c>
      <c r="E7" s="12">
        <v>40787</v>
      </c>
      <c r="F7" s="9">
        <f t="shared" ca="1" si="0"/>
        <v>0.1</v>
      </c>
      <c r="H7" s="7">
        <v>5</v>
      </c>
      <c r="I7" s="6">
        <v>0.08</v>
      </c>
      <c r="J7" s="6">
        <v>0.1</v>
      </c>
      <c r="K7" s="6">
        <v>0.13</v>
      </c>
      <c r="L7" s="6">
        <v>0.15</v>
      </c>
      <c r="M7" s="6">
        <v>0.17</v>
      </c>
      <c r="N7" s="6">
        <v>0.19</v>
      </c>
    </row>
    <row r="8" spans="1:14" x14ac:dyDescent="0.3">
      <c r="A8" s="8" t="s">
        <v>18</v>
      </c>
      <c r="B8" s="8" t="s">
        <v>19</v>
      </c>
      <c r="C8" t="s">
        <v>10</v>
      </c>
      <c r="D8" t="s">
        <v>20</v>
      </c>
      <c r="E8" s="12">
        <v>40969</v>
      </c>
      <c r="F8" s="9">
        <f t="shared" ca="1" si="0"/>
        <v>0.1</v>
      </c>
      <c r="H8" s="7">
        <v>10</v>
      </c>
      <c r="I8" s="6">
        <v>0.1</v>
      </c>
      <c r="J8" s="6">
        <v>0.12</v>
      </c>
      <c r="K8" s="6">
        <v>0.15</v>
      </c>
      <c r="L8" s="6">
        <v>0.17</v>
      </c>
      <c r="M8" s="6">
        <v>0.19</v>
      </c>
      <c r="N8" s="6">
        <v>0.2</v>
      </c>
    </row>
    <row r="9" spans="1:14" x14ac:dyDescent="0.3">
      <c r="A9" s="8" t="s">
        <v>21</v>
      </c>
      <c r="B9" s="8" t="s">
        <v>22</v>
      </c>
      <c r="C9" t="s">
        <v>23</v>
      </c>
      <c r="D9" t="s">
        <v>24</v>
      </c>
      <c r="E9" s="12">
        <v>31182</v>
      </c>
      <c r="F9" s="9">
        <f t="shared" ca="1" si="0"/>
        <v>0.25</v>
      </c>
      <c r="H9" s="7">
        <v>15</v>
      </c>
      <c r="I9" s="6">
        <v>0.12</v>
      </c>
      <c r="J9" s="6">
        <v>0.14000000000000001</v>
      </c>
      <c r="K9" s="6">
        <v>0.16</v>
      </c>
      <c r="L9" s="6">
        <v>0.19</v>
      </c>
      <c r="M9" s="6">
        <v>0.2</v>
      </c>
      <c r="N9" s="6">
        <v>0.22</v>
      </c>
    </row>
    <row r="10" spans="1:14" x14ac:dyDescent="0.3">
      <c r="A10" s="8" t="s">
        <v>25</v>
      </c>
      <c r="B10" s="8" t="s">
        <v>26</v>
      </c>
      <c r="C10" t="s">
        <v>27</v>
      </c>
      <c r="D10" t="s">
        <v>28</v>
      </c>
      <c r="E10" s="12">
        <v>35674</v>
      </c>
      <c r="F10" s="9">
        <f t="shared" ca="1" si="0"/>
        <v>0.18</v>
      </c>
      <c r="H10" s="7">
        <v>20</v>
      </c>
      <c r="I10" s="6">
        <v>0.15</v>
      </c>
      <c r="J10" s="6">
        <v>0.17</v>
      </c>
      <c r="K10" s="6">
        <v>0.18</v>
      </c>
      <c r="L10" s="6">
        <v>0.2</v>
      </c>
      <c r="M10" s="6">
        <v>0.25</v>
      </c>
      <c r="N10" s="6">
        <v>0.3</v>
      </c>
    </row>
    <row r="11" spans="1:14" x14ac:dyDescent="0.3">
      <c r="A11" s="8" t="s">
        <v>29</v>
      </c>
      <c r="B11" s="8" t="s">
        <v>30</v>
      </c>
      <c r="C11" t="s">
        <v>31</v>
      </c>
      <c r="D11" t="s">
        <v>28</v>
      </c>
      <c r="E11" s="12">
        <v>6400</v>
      </c>
      <c r="F11" s="9">
        <f t="shared" ca="1" si="0"/>
        <v>0.3</v>
      </c>
    </row>
    <row r="12" spans="1:14" x14ac:dyDescent="0.3">
      <c r="A12" s="8" t="s">
        <v>32</v>
      </c>
      <c r="B12" s="8" t="s">
        <v>33</v>
      </c>
      <c r="C12" t="s">
        <v>34</v>
      </c>
      <c r="D12" t="s">
        <v>35</v>
      </c>
      <c r="E12" s="12">
        <v>36404</v>
      </c>
      <c r="F12" s="9">
        <f t="shared" ca="1" si="0"/>
        <v>0.3</v>
      </c>
    </row>
    <row r="13" spans="1:14" x14ac:dyDescent="0.3">
      <c r="A13" s="8" t="s">
        <v>36</v>
      </c>
      <c r="B13" s="8" t="s">
        <v>37</v>
      </c>
      <c r="C13" t="s">
        <v>38</v>
      </c>
      <c r="D13" t="s">
        <v>39</v>
      </c>
      <c r="E13" s="12">
        <v>36220</v>
      </c>
      <c r="F13" s="9">
        <f t="shared" ca="1" si="0"/>
        <v>0.2</v>
      </c>
    </row>
    <row r="14" spans="1:14" x14ac:dyDescent="0.3">
      <c r="A14" s="8" t="s">
        <v>40</v>
      </c>
      <c r="B14" s="8" t="s">
        <v>41</v>
      </c>
      <c r="C14" t="s">
        <v>38</v>
      </c>
      <c r="D14" t="s">
        <v>42</v>
      </c>
      <c r="E14" s="12">
        <v>35490</v>
      </c>
      <c r="F14" s="9">
        <f t="shared" ca="1" si="0"/>
        <v>0.2</v>
      </c>
    </row>
    <row r="15" spans="1:14" x14ac:dyDescent="0.3">
      <c r="A15" s="8" t="s">
        <v>43</v>
      </c>
      <c r="B15" s="8" t="s">
        <v>44</v>
      </c>
      <c r="C15" t="s">
        <v>23</v>
      </c>
      <c r="D15" t="s">
        <v>45</v>
      </c>
      <c r="E15" s="12">
        <v>36586</v>
      </c>
      <c r="F15" s="9">
        <f t="shared" ca="1" si="0"/>
        <v>0.25</v>
      </c>
    </row>
    <row r="16" spans="1:14" x14ac:dyDescent="0.3">
      <c r="A16" s="8" t="s">
        <v>46</v>
      </c>
      <c r="B16" s="8" t="s">
        <v>47</v>
      </c>
      <c r="C16" t="s">
        <v>38</v>
      </c>
      <c r="D16" t="s">
        <v>48</v>
      </c>
      <c r="E16" s="12">
        <v>34029</v>
      </c>
      <c r="F16" s="9">
        <f t="shared" ca="1" si="0"/>
        <v>0.2</v>
      </c>
    </row>
    <row r="17" spans="1:6" x14ac:dyDescent="0.3">
      <c r="A17" s="8" t="s">
        <v>49</v>
      </c>
      <c r="B17" s="8" t="s">
        <v>50</v>
      </c>
      <c r="C17" t="s">
        <v>27</v>
      </c>
      <c r="D17" t="s">
        <v>51</v>
      </c>
      <c r="E17" s="12">
        <v>35309</v>
      </c>
      <c r="F17" s="9">
        <f t="shared" ca="1" si="0"/>
        <v>0.18</v>
      </c>
    </row>
    <row r="18" spans="1:6" x14ac:dyDescent="0.3">
      <c r="A18" s="8" t="s">
        <v>52</v>
      </c>
      <c r="B18" s="8" t="s">
        <v>53</v>
      </c>
      <c r="C18" t="s">
        <v>27</v>
      </c>
      <c r="D18" t="s">
        <v>54</v>
      </c>
      <c r="E18" s="12">
        <v>36404</v>
      </c>
      <c r="F18" s="9">
        <f t="shared" ca="1" si="0"/>
        <v>0.18</v>
      </c>
    </row>
    <row r="19" spans="1:6" x14ac:dyDescent="0.3">
      <c r="A19" s="8" t="s">
        <v>55</v>
      </c>
      <c r="B19" s="8" t="s">
        <v>56</v>
      </c>
      <c r="C19" t="s">
        <v>27</v>
      </c>
      <c r="D19" t="s">
        <v>57</v>
      </c>
      <c r="E19" s="12">
        <v>36586</v>
      </c>
      <c r="F19" s="9">
        <f t="shared" ca="1" si="0"/>
        <v>0.18</v>
      </c>
    </row>
    <row r="20" spans="1:6" x14ac:dyDescent="0.3">
      <c r="A20" s="8" t="s">
        <v>58</v>
      </c>
      <c r="B20" s="8" t="s">
        <v>59</v>
      </c>
      <c r="C20" t="s">
        <v>27</v>
      </c>
      <c r="D20" t="s">
        <v>60</v>
      </c>
      <c r="E20" s="12">
        <v>36951</v>
      </c>
      <c r="F20" s="9">
        <f t="shared" ca="1" si="0"/>
        <v>0.16</v>
      </c>
    </row>
  </sheetData>
  <mergeCells count="2">
    <mergeCell ref="H3:J3"/>
    <mergeCell ref="A1:E1"/>
  </mergeCells>
  <phoneticPr fontId="3" type="noConversion"/>
  <conditionalFormatting sqref="A4:E1048576">
    <cfRule type="expression" dxfId="5" priority="1">
      <formula>A4&lt;&gt;""</formula>
    </cfRule>
  </conditionalFormatting>
  <dataValidations count="2">
    <dataValidation type="list" allowBlank="1" showInputMessage="1" showErrorMessage="1" sqref="C4:C20" xr:uid="{00000000-0002-0000-0100-000000000000}">
      <formula1>"사원,대리,과장,차장,부장,이사"</formula1>
    </dataValidation>
    <dataValidation type="custom" allowBlank="1" showInputMessage="1" showErrorMessage="1" errorTitle="주민번호 오류" error="주민번호 자릿수를 확인하세요" sqref="D4:D20" xr:uid="{00000000-0002-0000-0100-000001000000}">
      <formula1>AND(LEN(D4)=14,VALUE(MID(D4,3,2))&lt;=12, VALUE(MID(D4,5,2))&lt;=31)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showGridLines="0" workbookViewId="0">
      <selection activeCell="D21" sqref="D21"/>
    </sheetView>
  </sheetViews>
  <sheetFormatPr defaultRowHeight="16.5" x14ac:dyDescent="0.3"/>
  <cols>
    <col min="1" max="1" width="11.125" customWidth="1"/>
    <col min="3" max="3" width="11.125" bestFit="1" customWidth="1"/>
    <col min="4" max="4" width="19.75" customWidth="1"/>
    <col min="5" max="5" width="15.875" bestFit="1" customWidth="1"/>
    <col min="6" max="6" width="24.375" customWidth="1"/>
  </cols>
  <sheetData>
    <row r="1" spans="1:6" ht="33.75" customHeight="1" x14ac:dyDescent="0.3">
      <c r="A1" s="29" t="s">
        <v>198</v>
      </c>
      <c r="B1" s="29"/>
      <c r="C1" s="29"/>
      <c r="D1" s="29"/>
      <c r="E1" s="29"/>
      <c r="F1" s="29"/>
    </row>
    <row r="2" spans="1:6" x14ac:dyDescent="0.3">
      <c r="A2" s="29"/>
      <c r="B2" s="29"/>
      <c r="C2" s="29"/>
      <c r="D2" s="29"/>
      <c r="E2" s="29"/>
      <c r="F2" s="29"/>
    </row>
    <row r="3" spans="1:6" ht="21" customHeight="1" x14ac:dyDescent="0.3">
      <c r="A3" s="13" t="s">
        <v>64</v>
      </c>
      <c r="B3" s="14" t="s">
        <v>65</v>
      </c>
      <c r="C3" s="14" t="s">
        <v>66</v>
      </c>
      <c r="D3" s="14" t="s">
        <v>67</v>
      </c>
      <c r="E3" s="14" t="s">
        <v>68</v>
      </c>
      <c r="F3" s="14" t="s">
        <v>69</v>
      </c>
    </row>
    <row r="4" spans="1:6" x14ac:dyDescent="0.3">
      <c r="A4" s="8" t="s">
        <v>191</v>
      </c>
      <c r="B4" s="8" t="s">
        <v>199</v>
      </c>
      <c r="C4" s="11">
        <v>28418</v>
      </c>
      <c r="D4" s="8" t="s">
        <v>200</v>
      </c>
      <c r="E4" s="8" t="s">
        <v>201</v>
      </c>
      <c r="F4" s="8" t="s">
        <v>70</v>
      </c>
    </row>
    <row r="5" spans="1:6" x14ac:dyDescent="0.3">
      <c r="A5" s="8" t="s">
        <v>71</v>
      </c>
      <c r="B5" s="8" t="s">
        <v>72</v>
      </c>
      <c r="C5" s="11">
        <v>26174</v>
      </c>
      <c r="D5" s="8" t="s">
        <v>73</v>
      </c>
      <c r="E5" s="8" t="s">
        <v>74</v>
      </c>
      <c r="F5" s="8" t="s">
        <v>75</v>
      </c>
    </row>
    <row r="6" spans="1:6" x14ac:dyDescent="0.3">
      <c r="A6" s="8" t="s">
        <v>76</v>
      </c>
      <c r="B6" s="8" t="s">
        <v>77</v>
      </c>
      <c r="C6" s="11">
        <v>26202</v>
      </c>
      <c r="D6" s="8" t="s">
        <v>78</v>
      </c>
      <c r="E6" s="8" t="s">
        <v>79</v>
      </c>
      <c r="F6" s="8" t="s">
        <v>80</v>
      </c>
    </row>
    <row r="7" spans="1:6" x14ac:dyDescent="0.3">
      <c r="A7" s="8" t="s">
        <v>81</v>
      </c>
      <c r="B7" s="8" t="s">
        <v>82</v>
      </c>
      <c r="C7" s="11">
        <v>26943</v>
      </c>
      <c r="D7" s="8" t="s">
        <v>83</v>
      </c>
      <c r="E7" s="8" t="s">
        <v>84</v>
      </c>
      <c r="F7" s="8" t="s">
        <v>85</v>
      </c>
    </row>
    <row r="8" spans="1:6" x14ac:dyDescent="0.3">
      <c r="A8" s="8" t="s">
        <v>86</v>
      </c>
      <c r="B8" s="8" t="s">
        <v>87</v>
      </c>
      <c r="C8" s="11">
        <v>25632</v>
      </c>
      <c r="D8" s="8" t="s">
        <v>88</v>
      </c>
      <c r="E8" s="8" t="s">
        <v>89</v>
      </c>
      <c r="F8" s="8" t="s">
        <v>90</v>
      </c>
    </row>
    <row r="9" spans="1:6" x14ac:dyDescent="0.3">
      <c r="A9" s="8" t="s">
        <v>91</v>
      </c>
      <c r="B9" s="8" t="s">
        <v>92</v>
      </c>
      <c r="C9" s="11">
        <v>23931</v>
      </c>
      <c r="D9" s="8" t="s">
        <v>93</v>
      </c>
      <c r="E9" s="8" t="s">
        <v>94</v>
      </c>
      <c r="F9" s="8" t="s">
        <v>95</v>
      </c>
    </row>
    <row r="10" spans="1:6" x14ac:dyDescent="0.3">
      <c r="A10" s="8" t="s">
        <v>96</v>
      </c>
      <c r="B10" s="8" t="s">
        <v>97</v>
      </c>
      <c r="C10" s="11">
        <v>21628</v>
      </c>
      <c r="D10" s="8" t="s">
        <v>98</v>
      </c>
      <c r="E10" s="8" t="s">
        <v>84</v>
      </c>
      <c r="F10" s="8" t="s">
        <v>99</v>
      </c>
    </row>
    <row r="11" spans="1:6" x14ac:dyDescent="0.3">
      <c r="A11" s="8" t="s">
        <v>100</v>
      </c>
      <c r="B11" s="8" t="s">
        <v>101</v>
      </c>
      <c r="C11" s="11">
        <v>27738</v>
      </c>
      <c r="D11" s="8" t="s">
        <v>102</v>
      </c>
      <c r="E11" s="8" t="s">
        <v>79</v>
      </c>
      <c r="F11" s="8" t="s">
        <v>103</v>
      </c>
    </row>
    <row r="12" spans="1:6" x14ac:dyDescent="0.3">
      <c r="A12" s="8" t="s">
        <v>104</v>
      </c>
      <c r="B12" s="8" t="s">
        <v>105</v>
      </c>
      <c r="C12" s="11">
        <v>27417</v>
      </c>
      <c r="D12" s="8" t="s">
        <v>106</v>
      </c>
      <c r="E12" s="8" t="s">
        <v>84</v>
      </c>
      <c r="F12" s="8" t="s">
        <v>107</v>
      </c>
    </row>
    <row r="13" spans="1:6" x14ac:dyDescent="0.3">
      <c r="A13" s="8" t="s">
        <v>108</v>
      </c>
      <c r="B13" s="8" t="s">
        <v>109</v>
      </c>
      <c r="C13" s="11">
        <v>27349</v>
      </c>
      <c r="D13" s="8" t="s">
        <v>110</v>
      </c>
      <c r="E13" s="8" t="s">
        <v>89</v>
      </c>
      <c r="F13" s="8" t="s">
        <v>111</v>
      </c>
    </row>
    <row r="14" spans="1:6" x14ac:dyDescent="0.3">
      <c r="A14" s="8" t="s">
        <v>112</v>
      </c>
      <c r="B14" s="8" t="s">
        <v>113</v>
      </c>
      <c r="C14" s="11">
        <v>28850</v>
      </c>
      <c r="D14" s="8" t="s">
        <v>114</v>
      </c>
      <c r="E14" s="8" t="s">
        <v>94</v>
      </c>
      <c r="F14" s="8" t="s">
        <v>115</v>
      </c>
    </row>
    <row r="15" spans="1:6" x14ac:dyDescent="0.3">
      <c r="A15" s="8" t="s">
        <v>81</v>
      </c>
      <c r="B15" s="8" t="s">
        <v>116</v>
      </c>
      <c r="C15" s="11">
        <v>27582</v>
      </c>
      <c r="D15" s="8" t="s">
        <v>117</v>
      </c>
      <c r="E15" s="8" t="s">
        <v>84</v>
      </c>
      <c r="F15" s="8" t="s">
        <v>118</v>
      </c>
    </row>
    <row r="16" spans="1:6" x14ac:dyDescent="0.3">
      <c r="A16" s="8" t="s">
        <v>119</v>
      </c>
      <c r="B16" s="8" t="s">
        <v>120</v>
      </c>
      <c r="C16" s="11">
        <v>28430</v>
      </c>
      <c r="D16" s="8" t="s">
        <v>121</v>
      </c>
      <c r="E16" s="8" t="s">
        <v>122</v>
      </c>
      <c r="F16" s="8" t="s">
        <v>123</v>
      </c>
    </row>
    <row r="17" spans="1:6" x14ac:dyDescent="0.3">
      <c r="A17" s="8" t="s">
        <v>124</v>
      </c>
      <c r="B17" s="8" t="s">
        <v>125</v>
      </c>
      <c r="C17" s="11">
        <v>28979</v>
      </c>
      <c r="D17" s="8" t="s">
        <v>126</v>
      </c>
      <c r="E17" s="8" t="s">
        <v>84</v>
      </c>
      <c r="F17" s="8" t="s">
        <v>127</v>
      </c>
    </row>
    <row r="18" spans="1:6" x14ac:dyDescent="0.3">
      <c r="A18" s="8" t="s">
        <v>128</v>
      </c>
      <c r="B18" s="8" t="s">
        <v>129</v>
      </c>
      <c r="C18" s="11">
        <v>26517</v>
      </c>
      <c r="D18" s="8" t="s">
        <v>130</v>
      </c>
      <c r="E18" s="8" t="s">
        <v>89</v>
      </c>
      <c r="F18" s="8" t="s">
        <v>107</v>
      </c>
    </row>
    <row r="19" spans="1:6" x14ac:dyDescent="0.3">
      <c r="A19" s="8" t="s">
        <v>131</v>
      </c>
      <c r="B19" s="8" t="s">
        <v>132</v>
      </c>
      <c r="C19" s="11">
        <v>27785</v>
      </c>
      <c r="D19" s="8" t="s">
        <v>133</v>
      </c>
      <c r="E19" s="8" t="s">
        <v>122</v>
      </c>
      <c r="F19" s="8" t="s">
        <v>134</v>
      </c>
    </row>
    <row r="20" spans="1:6" x14ac:dyDescent="0.3">
      <c r="A20" s="8" t="s">
        <v>135</v>
      </c>
      <c r="B20" s="8" t="s">
        <v>136</v>
      </c>
      <c r="C20" s="11">
        <v>27952</v>
      </c>
      <c r="D20" s="8" t="s">
        <v>137</v>
      </c>
      <c r="E20" s="8" t="s">
        <v>79</v>
      </c>
      <c r="F20" s="8" t="s">
        <v>138</v>
      </c>
    </row>
    <row r="21" spans="1:6" x14ac:dyDescent="0.3">
      <c r="A21" s="8" t="s">
        <v>81</v>
      </c>
      <c r="B21" s="8" t="s">
        <v>139</v>
      </c>
      <c r="C21" s="11">
        <v>24393</v>
      </c>
      <c r="D21" s="8" t="s">
        <v>140</v>
      </c>
      <c r="E21" s="8" t="s">
        <v>141</v>
      </c>
      <c r="F21" s="8" t="s">
        <v>85</v>
      </c>
    </row>
    <row r="22" spans="1:6" x14ac:dyDescent="0.3">
      <c r="A22" s="8" t="s">
        <v>142</v>
      </c>
      <c r="B22" s="8" t="s">
        <v>143</v>
      </c>
      <c r="C22" s="11">
        <v>28031</v>
      </c>
      <c r="D22" s="8" t="s">
        <v>144</v>
      </c>
      <c r="E22" s="8" t="s">
        <v>145</v>
      </c>
      <c r="F22" s="8" t="s">
        <v>146</v>
      </c>
    </row>
    <row r="23" spans="1:6" x14ac:dyDescent="0.3">
      <c r="A23" s="8" t="s">
        <v>147</v>
      </c>
      <c r="B23" s="8" t="s">
        <v>148</v>
      </c>
      <c r="C23" s="11">
        <v>28032</v>
      </c>
      <c r="D23" s="8" t="s">
        <v>149</v>
      </c>
      <c r="E23" s="8" t="s">
        <v>150</v>
      </c>
      <c r="F23" s="8" t="s">
        <v>99</v>
      </c>
    </row>
  </sheetData>
  <mergeCells count="1">
    <mergeCell ref="A1:F2"/>
  </mergeCells>
  <phoneticPr fontId="3" type="noConversion"/>
  <conditionalFormatting sqref="A4:F1048576">
    <cfRule type="expression" dxfId="4" priority="1">
      <formula>A4&lt;&gt;""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2"/>
  <sheetViews>
    <sheetView showGridLines="0" zoomScaleNormal="100" workbookViewId="0">
      <selection activeCell="N22" sqref="N22:N23"/>
    </sheetView>
  </sheetViews>
  <sheetFormatPr defaultRowHeight="16.5" x14ac:dyDescent="0.3"/>
  <cols>
    <col min="2" max="2" width="18.125" customWidth="1"/>
    <col min="3" max="3" width="16.125" customWidth="1"/>
    <col min="4" max="4" width="14.75" style="8" customWidth="1"/>
    <col min="5" max="5" width="12.25" style="8" customWidth="1"/>
    <col min="7" max="7" width="16" style="18" customWidth="1"/>
    <col min="8" max="9" width="9.125" customWidth="1"/>
    <col min="13" max="13" width="11.125" customWidth="1"/>
    <col min="14" max="14" width="13.625" customWidth="1"/>
    <col min="15" max="15" width="12.625" style="8" customWidth="1"/>
    <col min="16" max="16" width="10.375" bestFit="1" customWidth="1"/>
    <col min="17" max="17" width="10.375" customWidth="1"/>
    <col min="20" max="20" width="12.25" bestFit="1" customWidth="1"/>
    <col min="21" max="21" width="9.75" bestFit="1" customWidth="1"/>
    <col min="22" max="23" width="15.375" bestFit="1" customWidth="1"/>
  </cols>
  <sheetData>
    <row r="1" spans="1:23" ht="29.25" customHeight="1" x14ac:dyDescent="0.3">
      <c r="A1" s="28" t="s">
        <v>230</v>
      </c>
      <c r="B1" s="28"/>
      <c r="C1" s="28"/>
      <c r="D1" s="28"/>
      <c r="E1" s="28"/>
      <c r="G1"/>
      <c r="O1"/>
    </row>
    <row r="2" spans="1:23" x14ac:dyDescent="0.3">
      <c r="D2"/>
      <c r="E2"/>
      <c r="G2"/>
      <c r="O2"/>
    </row>
    <row r="3" spans="1:23" x14ac:dyDescent="0.3">
      <c r="A3" s="10" t="s">
        <v>151</v>
      </c>
      <c r="B3" s="10" t="s">
        <v>152</v>
      </c>
      <c r="C3" s="10" t="s">
        <v>153</v>
      </c>
      <c r="D3" s="10" t="s">
        <v>154</v>
      </c>
      <c r="E3" s="10" t="s">
        <v>155</v>
      </c>
      <c r="F3" s="10" t="s">
        <v>156</v>
      </c>
      <c r="G3" s="10" t="s">
        <v>202</v>
      </c>
      <c r="H3" s="19" t="s">
        <v>203</v>
      </c>
      <c r="I3" s="20"/>
      <c r="K3" s="25" t="s">
        <v>203</v>
      </c>
      <c r="M3" s="21" t="s">
        <v>205</v>
      </c>
      <c r="N3" s="21" t="s">
        <v>206</v>
      </c>
      <c r="O3" s="21" t="s">
        <v>207</v>
      </c>
      <c r="P3" s="21" t="s">
        <v>210</v>
      </c>
      <c r="Q3" s="21" t="s">
        <v>208</v>
      </c>
      <c r="R3" s="21" t="s">
        <v>209</v>
      </c>
      <c r="T3" s="22" t="s">
        <v>228</v>
      </c>
      <c r="U3" s="22" t="s">
        <v>210</v>
      </c>
      <c r="V3" t="s">
        <v>229</v>
      </c>
      <c r="W3" t="s">
        <v>227</v>
      </c>
    </row>
    <row r="4" spans="1:23" x14ac:dyDescent="0.3">
      <c r="A4" t="s">
        <v>157</v>
      </c>
      <c r="B4" t="s">
        <v>158</v>
      </c>
      <c r="C4">
        <v>50000000</v>
      </c>
      <c r="D4" s="11">
        <v>40098</v>
      </c>
      <c r="E4" s="17">
        <v>134000</v>
      </c>
      <c r="F4" s="8" t="s">
        <v>159</v>
      </c>
      <c r="G4" s="18">
        <f t="shared" ref="G4:G42" si="0">총보험료($D4,VALUE($E4))</f>
        <v>17822000</v>
      </c>
      <c r="H4" s="19" t="str">
        <f>IF(OR(I4="1",I4="3"),"남자","여자")</f>
        <v>남자</v>
      </c>
      <c r="I4" s="20" t="str">
        <f>MID(VLOOKUP(F4,영업사원!$A$4:$F$1048576,4,FALSE),8,1)</f>
        <v>1</v>
      </c>
      <c r="K4" s="25" t="s">
        <v>204</v>
      </c>
      <c r="M4" t="s">
        <v>170</v>
      </c>
      <c r="N4" t="s">
        <v>169</v>
      </c>
      <c r="O4" s="8">
        <v>30000000</v>
      </c>
      <c r="P4" s="11">
        <v>41688</v>
      </c>
      <c r="Q4" s="17">
        <v>25200</v>
      </c>
      <c r="R4" s="8" t="s">
        <v>172</v>
      </c>
      <c r="T4" t="s">
        <v>215</v>
      </c>
      <c r="V4" s="24"/>
      <c r="W4" s="23"/>
    </row>
    <row r="5" spans="1:23" x14ac:dyDescent="0.3">
      <c r="A5" t="s">
        <v>157</v>
      </c>
      <c r="B5" t="s">
        <v>158</v>
      </c>
      <c r="C5">
        <v>50000000</v>
      </c>
      <c r="D5" s="11">
        <v>40098</v>
      </c>
      <c r="E5" s="17">
        <v>134000</v>
      </c>
      <c r="F5" s="8" t="s">
        <v>159</v>
      </c>
      <c r="G5" s="18">
        <f t="shared" si="0"/>
        <v>17822000</v>
      </c>
      <c r="H5" s="19" t="str">
        <f t="shared" ref="H5:H42" si="1">IF(OR(I5="1",I5="3"),"남자","여자")</f>
        <v>남자</v>
      </c>
      <c r="I5" s="20" t="str">
        <f>MID(VLOOKUP(F5,영업사원!$A$4:$F$1048576,4,FALSE),8,1)</f>
        <v>1</v>
      </c>
      <c r="M5" t="s">
        <v>176</v>
      </c>
      <c r="N5" t="s">
        <v>158</v>
      </c>
      <c r="O5" s="8">
        <v>20000000</v>
      </c>
      <c r="P5" s="11">
        <v>41538</v>
      </c>
      <c r="Q5" s="17">
        <v>34500</v>
      </c>
      <c r="R5" s="8" t="s">
        <v>178</v>
      </c>
      <c r="U5" s="12" t="s">
        <v>217</v>
      </c>
      <c r="V5" s="24">
        <v>4</v>
      </c>
      <c r="W5" s="23">
        <v>75000000</v>
      </c>
    </row>
    <row r="6" spans="1:23" x14ac:dyDescent="0.3">
      <c r="A6" t="s">
        <v>160</v>
      </c>
      <c r="B6" t="s">
        <v>158</v>
      </c>
      <c r="C6">
        <v>70000000</v>
      </c>
      <c r="D6" s="11">
        <v>40938</v>
      </c>
      <c r="E6" s="17">
        <v>201400</v>
      </c>
      <c r="F6" s="8" t="s">
        <v>161</v>
      </c>
      <c r="G6" s="18">
        <f t="shared" si="0"/>
        <v>21348400</v>
      </c>
      <c r="H6" s="19" t="str">
        <f t="shared" si="1"/>
        <v>남자</v>
      </c>
      <c r="I6" s="20" t="str">
        <f>MID(VLOOKUP(F6,영업사원!$A$4:$F$1048576,4,FALSE),8,1)</f>
        <v>1</v>
      </c>
      <c r="M6" t="s">
        <v>179</v>
      </c>
      <c r="N6" t="s">
        <v>162</v>
      </c>
      <c r="O6" s="8">
        <v>30000000</v>
      </c>
      <c r="P6" s="11">
        <v>41178</v>
      </c>
      <c r="Q6" s="17">
        <v>89000</v>
      </c>
      <c r="R6" s="8" t="s">
        <v>180</v>
      </c>
      <c r="T6" t="s">
        <v>216</v>
      </c>
      <c r="V6" s="24"/>
      <c r="W6" s="23"/>
    </row>
    <row r="7" spans="1:23" x14ac:dyDescent="0.3">
      <c r="A7" t="s">
        <v>160</v>
      </c>
      <c r="B7" t="s">
        <v>162</v>
      </c>
      <c r="C7">
        <v>70000000</v>
      </c>
      <c r="D7" s="11">
        <v>41118</v>
      </c>
      <c r="E7" s="17">
        <v>98000</v>
      </c>
      <c r="F7" s="8" t="s">
        <v>163</v>
      </c>
      <c r="G7" s="18">
        <f t="shared" si="0"/>
        <v>9800000</v>
      </c>
      <c r="H7" s="19" t="str">
        <f t="shared" si="1"/>
        <v>남자</v>
      </c>
      <c r="I7" s="20" t="str">
        <f>MID(VLOOKUP(F7,영업사원!$A$4:$F$1048576,4,FALSE),8,1)</f>
        <v>1</v>
      </c>
      <c r="M7" t="s">
        <v>182</v>
      </c>
      <c r="N7" t="s">
        <v>166</v>
      </c>
      <c r="O7" s="8">
        <v>70000000</v>
      </c>
      <c r="P7" s="11">
        <v>40758</v>
      </c>
      <c r="Q7" s="17">
        <v>167000</v>
      </c>
      <c r="R7" s="8" t="s">
        <v>12</v>
      </c>
      <c r="U7" s="12" t="s">
        <v>218</v>
      </c>
      <c r="V7" s="24">
        <v>1</v>
      </c>
      <c r="W7" s="23">
        <v>70000000</v>
      </c>
    </row>
    <row r="8" spans="1:23" x14ac:dyDescent="0.3">
      <c r="A8" t="s">
        <v>164</v>
      </c>
      <c r="B8" t="s">
        <v>158</v>
      </c>
      <c r="C8">
        <v>50000000</v>
      </c>
      <c r="D8" s="11">
        <v>40938</v>
      </c>
      <c r="E8" s="17">
        <v>134000</v>
      </c>
      <c r="F8" s="8" t="s">
        <v>165</v>
      </c>
      <c r="G8" s="18">
        <f t="shared" si="0"/>
        <v>14204000</v>
      </c>
      <c r="H8" s="19" t="str">
        <f t="shared" si="1"/>
        <v>남자</v>
      </c>
      <c r="I8" s="20" t="str">
        <f>MID(VLOOKUP(F8,영업사원!$A$4:$F$1048576,4,FALSE),8,1)</f>
        <v>1</v>
      </c>
      <c r="M8" t="s">
        <v>182</v>
      </c>
      <c r="N8" t="s">
        <v>162</v>
      </c>
      <c r="O8" s="8">
        <v>50000000</v>
      </c>
      <c r="P8" s="11">
        <v>41178</v>
      </c>
      <c r="Q8" s="17">
        <v>170000</v>
      </c>
      <c r="R8" s="8" t="s">
        <v>183</v>
      </c>
      <c r="U8" s="12" t="s">
        <v>217</v>
      </c>
      <c r="V8" s="24">
        <v>1</v>
      </c>
      <c r="W8" s="23">
        <v>20000000</v>
      </c>
    </row>
    <row r="9" spans="1:23" x14ac:dyDescent="0.3">
      <c r="A9" t="s">
        <v>164</v>
      </c>
      <c r="B9" t="s">
        <v>166</v>
      </c>
      <c r="C9">
        <v>80000000</v>
      </c>
      <c r="D9" s="11">
        <v>41178</v>
      </c>
      <c r="E9" s="17">
        <v>159000</v>
      </c>
      <c r="F9" s="8" t="s">
        <v>167</v>
      </c>
      <c r="G9" s="18">
        <f t="shared" si="0"/>
        <v>15582000</v>
      </c>
      <c r="H9" s="19" t="str">
        <f t="shared" si="1"/>
        <v>남자</v>
      </c>
      <c r="I9" s="20" t="str">
        <f>MID(VLOOKUP(F9,영업사원!$A$4:$F$1048576,4,FALSE),8,1)</f>
        <v>1</v>
      </c>
      <c r="M9" t="s">
        <v>184</v>
      </c>
      <c r="N9" t="s">
        <v>171</v>
      </c>
      <c r="O9" s="8">
        <v>30000000</v>
      </c>
      <c r="P9" s="11">
        <v>41838</v>
      </c>
      <c r="Q9" s="17">
        <v>38900</v>
      </c>
      <c r="R9" s="8" t="s">
        <v>180</v>
      </c>
      <c r="T9" t="s">
        <v>211</v>
      </c>
      <c r="V9" s="24"/>
      <c r="W9" s="23"/>
    </row>
    <row r="10" spans="1:23" x14ac:dyDescent="0.3">
      <c r="A10" t="s">
        <v>168</v>
      </c>
      <c r="B10" t="s">
        <v>169</v>
      </c>
      <c r="C10">
        <v>30000000</v>
      </c>
      <c r="D10" s="11">
        <v>41688</v>
      </c>
      <c r="E10" s="17">
        <v>25200</v>
      </c>
      <c r="F10" s="8" t="s">
        <v>167</v>
      </c>
      <c r="G10" s="18">
        <f t="shared" si="0"/>
        <v>2041200</v>
      </c>
      <c r="H10" s="19" t="str">
        <f t="shared" si="1"/>
        <v>남자</v>
      </c>
      <c r="I10" s="20" t="str">
        <f>MID(VLOOKUP(F10,영업사원!$A$4:$F$1048576,4,FALSE),8,1)</f>
        <v>1</v>
      </c>
      <c r="M10" t="s">
        <v>185</v>
      </c>
      <c r="N10" t="s">
        <v>169</v>
      </c>
      <c r="O10" s="8">
        <v>30000000</v>
      </c>
      <c r="P10" s="11">
        <v>41178</v>
      </c>
      <c r="Q10" s="17">
        <v>38340</v>
      </c>
      <c r="R10" s="8" t="s">
        <v>172</v>
      </c>
      <c r="U10" s="12" t="s">
        <v>219</v>
      </c>
      <c r="V10" s="24">
        <v>2</v>
      </c>
      <c r="W10" s="23">
        <v>50000000</v>
      </c>
    </row>
    <row r="11" spans="1:23" x14ac:dyDescent="0.3">
      <c r="A11" t="s">
        <v>168</v>
      </c>
      <c r="B11" t="s">
        <v>162</v>
      </c>
      <c r="C11">
        <v>30000000</v>
      </c>
      <c r="D11" s="11">
        <v>40938</v>
      </c>
      <c r="E11" s="17">
        <v>98000</v>
      </c>
      <c r="F11" s="8" t="s">
        <v>8</v>
      </c>
      <c r="G11" s="18">
        <f t="shared" si="0"/>
        <v>10388000</v>
      </c>
      <c r="H11" s="19" t="str">
        <f t="shared" si="1"/>
        <v>남자</v>
      </c>
      <c r="I11" s="20" t="str">
        <f>MID(VLOOKUP(F11,영업사원!$A$4:$F$1048576,4,FALSE),8,1)</f>
        <v>1</v>
      </c>
      <c r="M11" t="s">
        <v>186</v>
      </c>
      <c r="N11" t="s">
        <v>181</v>
      </c>
      <c r="O11" s="8">
        <v>30000000</v>
      </c>
      <c r="P11" s="11">
        <v>41298</v>
      </c>
      <c r="Q11" s="17">
        <v>71450</v>
      </c>
      <c r="R11" s="8" t="s">
        <v>187</v>
      </c>
      <c r="U11" s="12" t="s">
        <v>220</v>
      </c>
      <c r="V11" s="24">
        <v>1</v>
      </c>
      <c r="W11" s="23">
        <v>70000000</v>
      </c>
    </row>
    <row r="12" spans="1:23" x14ac:dyDescent="0.3">
      <c r="A12" t="s">
        <v>170</v>
      </c>
      <c r="B12" t="s">
        <v>171</v>
      </c>
      <c r="C12">
        <v>20000000</v>
      </c>
      <c r="D12" s="11">
        <v>40938</v>
      </c>
      <c r="E12" s="17">
        <v>434500</v>
      </c>
      <c r="F12" s="8" t="s">
        <v>163</v>
      </c>
      <c r="G12" s="18">
        <f t="shared" si="0"/>
        <v>46057000</v>
      </c>
      <c r="H12" s="19" t="str">
        <f t="shared" si="1"/>
        <v>남자</v>
      </c>
      <c r="I12" s="20" t="str">
        <f>MID(VLOOKUP(F12,영업사원!$A$4:$F$1048576,4,FALSE),8,1)</f>
        <v>1</v>
      </c>
      <c r="M12" t="s">
        <v>188</v>
      </c>
      <c r="N12" t="s">
        <v>169</v>
      </c>
      <c r="O12" s="8">
        <v>70000000</v>
      </c>
      <c r="P12" s="11">
        <v>41778</v>
      </c>
      <c r="Q12" s="8">
        <v>124700</v>
      </c>
      <c r="R12" s="8" t="s">
        <v>178</v>
      </c>
      <c r="T12" t="s">
        <v>212</v>
      </c>
      <c r="V12" s="24"/>
      <c r="W12" s="23"/>
    </row>
    <row r="13" spans="1:23" x14ac:dyDescent="0.3">
      <c r="A13" t="s">
        <v>170</v>
      </c>
      <c r="B13" t="s">
        <v>162</v>
      </c>
      <c r="C13">
        <v>30000000</v>
      </c>
      <c r="D13" s="11">
        <v>40938</v>
      </c>
      <c r="E13" s="17">
        <v>98000</v>
      </c>
      <c r="F13" s="8" t="s">
        <v>161</v>
      </c>
      <c r="G13" s="18">
        <f t="shared" si="0"/>
        <v>10388000</v>
      </c>
      <c r="H13" s="19" t="str">
        <f t="shared" si="1"/>
        <v>남자</v>
      </c>
      <c r="I13" s="20" t="str">
        <f>MID(VLOOKUP(F13,영업사원!$A$4:$F$1048576,4,FALSE),8,1)</f>
        <v>1</v>
      </c>
      <c r="M13" t="s">
        <v>190</v>
      </c>
      <c r="N13" t="s">
        <v>166</v>
      </c>
      <c r="O13" s="8">
        <v>100000000</v>
      </c>
      <c r="P13" s="11">
        <v>41238</v>
      </c>
      <c r="Q13" s="8">
        <v>254000</v>
      </c>
      <c r="R13" s="8" t="s">
        <v>12</v>
      </c>
      <c r="U13" s="12" t="s">
        <v>221</v>
      </c>
      <c r="V13" s="24">
        <v>5</v>
      </c>
      <c r="W13" s="23">
        <v>40000000</v>
      </c>
    </row>
    <row r="14" spans="1:23" x14ac:dyDescent="0.3">
      <c r="A14" t="s">
        <v>170</v>
      </c>
      <c r="B14" t="s">
        <v>158</v>
      </c>
      <c r="C14">
        <v>250000000</v>
      </c>
      <c r="D14" s="11">
        <v>41118</v>
      </c>
      <c r="E14" s="17">
        <v>340000</v>
      </c>
      <c r="F14" s="8" t="s">
        <v>163</v>
      </c>
      <c r="G14" s="18">
        <f t="shared" si="0"/>
        <v>34000000</v>
      </c>
      <c r="H14" s="19" t="str">
        <f t="shared" si="1"/>
        <v>남자</v>
      </c>
      <c r="I14" s="20" t="str">
        <f>MID(VLOOKUP(F14,영업사원!$A$4:$F$1048576,4,FALSE),8,1)</f>
        <v>1</v>
      </c>
      <c r="M14" t="s">
        <v>195</v>
      </c>
      <c r="N14" t="s">
        <v>158</v>
      </c>
      <c r="O14" s="8">
        <v>55000000</v>
      </c>
      <c r="P14" s="11">
        <v>41448</v>
      </c>
      <c r="Q14" s="8">
        <v>112100</v>
      </c>
      <c r="R14" s="8" t="s">
        <v>183</v>
      </c>
      <c r="U14" s="12" t="s">
        <v>222</v>
      </c>
      <c r="V14" s="24">
        <v>2</v>
      </c>
      <c r="W14" s="23">
        <v>160000000</v>
      </c>
    </row>
    <row r="15" spans="1:23" x14ac:dyDescent="0.3">
      <c r="A15" t="s">
        <v>170</v>
      </c>
      <c r="B15" t="s">
        <v>169</v>
      </c>
      <c r="C15">
        <v>30000000</v>
      </c>
      <c r="D15" s="11">
        <v>41688</v>
      </c>
      <c r="E15" s="17">
        <v>25200</v>
      </c>
      <c r="F15" s="8" t="s">
        <v>172</v>
      </c>
      <c r="G15" s="18">
        <f t="shared" si="0"/>
        <v>2041200</v>
      </c>
      <c r="H15" s="19" t="str">
        <f t="shared" si="1"/>
        <v>여자</v>
      </c>
      <c r="I15" s="20" t="str">
        <f>MID(VLOOKUP(F15,영업사원!$A$4:$F$1048576,4,FALSE),8,1)</f>
        <v>2</v>
      </c>
      <c r="M15" t="s">
        <v>195</v>
      </c>
      <c r="N15" t="s">
        <v>169</v>
      </c>
      <c r="O15" s="8">
        <v>30000000</v>
      </c>
      <c r="P15" s="11">
        <v>41178</v>
      </c>
      <c r="Q15" s="8">
        <v>38340</v>
      </c>
      <c r="R15" s="8" t="s">
        <v>187</v>
      </c>
      <c r="U15" s="12" t="s">
        <v>218</v>
      </c>
      <c r="V15" s="24">
        <v>9</v>
      </c>
      <c r="W15" s="23">
        <v>42222222.222222224</v>
      </c>
    </row>
    <row r="16" spans="1:23" x14ac:dyDescent="0.3">
      <c r="A16" t="s">
        <v>170</v>
      </c>
      <c r="B16" t="s">
        <v>171</v>
      </c>
      <c r="C16">
        <v>30000000</v>
      </c>
      <c r="D16" s="11">
        <v>41178</v>
      </c>
      <c r="E16" s="17">
        <v>49800</v>
      </c>
      <c r="F16" s="8" t="s">
        <v>159</v>
      </c>
      <c r="G16" s="18">
        <f t="shared" si="0"/>
        <v>4880400</v>
      </c>
      <c r="H16" s="19" t="str">
        <f t="shared" si="1"/>
        <v>남자</v>
      </c>
      <c r="I16" s="20" t="str">
        <f>MID(VLOOKUP(F16,영업사원!$A$4:$F$1048576,4,FALSE),8,1)</f>
        <v>1</v>
      </c>
      <c r="U16" s="12" t="s">
        <v>223</v>
      </c>
      <c r="V16" s="24">
        <v>2</v>
      </c>
      <c r="W16" s="23">
        <v>100000000</v>
      </c>
    </row>
    <row r="17" spans="1:23" x14ac:dyDescent="0.3">
      <c r="A17" t="s">
        <v>173</v>
      </c>
      <c r="B17" t="s">
        <v>158</v>
      </c>
      <c r="C17">
        <v>50000000</v>
      </c>
      <c r="D17" s="11">
        <v>41178</v>
      </c>
      <c r="E17" s="17">
        <v>120000</v>
      </c>
      <c r="F17" s="8" t="s">
        <v>174</v>
      </c>
      <c r="G17" s="18">
        <f t="shared" si="0"/>
        <v>11760000</v>
      </c>
      <c r="H17" s="19" t="str">
        <f t="shared" si="1"/>
        <v>남자</v>
      </c>
      <c r="I17" s="20" t="str">
        <f>MID(VLOOKUP(F17,영업사원!$A$4:$F$1048576,4,FALSE),8,1)</f>
        <v>1</v>
      </c>
      <c r="T17" t="s">
        <v>213</v>
      </c>
      <c r="V17" s="24"/>
      <c r="W17" s="23"/>
    </row>
    <row r="18" spans="1:23" x14ac:dyDescent="0.3">
      <c r="A18" t="s">
        <v>173</v>
      </c>
      <c r="B18" t="s">
        <v>171</v>
      </c>
      <c r="C18">
        <v>150000000</v>
      </c>
      <c r="D18" s="11">
        <v>40098</v>
      </c>
      <c r="E18" s="17">
        <v>244000</v>
      </c>
      <c r="F18" s="8" t="s">
        <v>175</v>
      </c>
      <c r="G18" s="18">
        <f t="shared" si="0"/>
        <v>32452000</v>
      </c>
      <c r="H18" s="19" t="str">
        <f t="shared" si="1"/>
        <v>남자</v>
      </c>
      <c r="I18" s="20" t="str">
        <f>MID(VLOOKUP(F18,영업사원!$A$4:$F$1048576,4,FALSE),8,1)</f>
        <v>1</v>
      </c>
      <c r="U18" s="12" t="s">
        <v>221</v>
      </c>
      <c r="V18" s="24">
        <v>1</v>
      </c>
      <c r="W18" s="23">
        <v>30000000</v>
      </c>
    </row>
    <row r="19" spans="1:23" x14ac:dyDescent="0.3">
      <c r="A19" t="s">
        <v>176</v>
      </c>
      <c r="B19" t="s">
        <v>171</v>
      </c>
      <c r="C19">
        <v>20000000</v>
      </c>
      <c r="D19" s="11">
        <v>40458</v>
      </c>
      <c r="E19" s="17">
        <v>23800</v>
      </c>
      <c r="F19" s="8" t="s">
        <v>177</v>
      </c>
      <c r="G19" s="18">
        <f t="shared" si="0"/>
        <v>2879800</v>
      </c>
      <c r="H19" s="19" t="str">
        <f t="shared" si="1"/>
        <v>남자</v>
      </c>
      <c r="I19" s="20" t="str">
        <f>MID(VLOOKUP(F19,영업사원!$A$4:$F$1048576,4,FALSE),8,1)</f>
        <v>1</v>
      </c>
      <c r="U19" s="12" t="s">
        <v>224</v>
      </c>
      <c r="V19" s="24">
        <v>1</v>
      </c>
      <c r="W19" s="23">
        <v>55000000</v>
      </c>
    </row>
    <row r="20" spans="1:23" x14ac:dyDescent="0.3">
      <c r="A20" t="s">
        <v>176</v>
      </c>
      <c r="B20" t="s">
        <v>158</v>
      </c>
      <c r="C20">
        <v>20000000</v>
      </c>
      <c r="D20" s="11">
        <v>41538</v>
      </c>
      <c r="E20" s="17">
        <v>34500</v>
      </c>
      <c r="F20" s="8" t="s">
        <v>178</v>
      </c>
      <c r="G20" s="18">
        <f t="shared" si="0"/>
        <v>2967000</v>
      </c>
      <c r="H20" s="19" t="str">
        <f t="shared" si="1"/>
        <v>여자</v>
      </c>
      <c r="I20" s="20" t="str">
        <f>MID(VLOOKUP(F20,영업사원!$A$4:$F$1048576,4,FALSE),8,1)</f>
        <v>2</v>
      </c>
      <c r="U20" s="12" t="s">
        <v>218</v>
      </c>
      <c r="V20" s="24">
        <v>1</v>
      </c>
      <c r="W20" s="23">
        <v>20000000</v>
      </c>
    </row>
    <row r="21" spans="1:23" x14ac:dyDescent="0.3">
      <c r="A21" t="s">
        <v>179</v>
      </c>
      <c r="B21" t="s">
        <v>162</v>
      </c>
      <c r="C21">
        <v>30000000</v>
      </c>
      <c r="D21" s="11">
        <v>41178</v>
      </c>
      <c r="E21" s="17">
        <v>89000</v>
      </c>
      <c r="F21" s="8" t="s">
        <v>180</v>
      </c>
      <c r="G21" s="18">
        <f t="shared" si="0"/>
        <v>8722000</v>
      </c>
      <c r="H21" s="19" t="str">
        <f t="shared" si="1"/>
        <v>여자</v>
      </c>
      <c r="I21" s="20" t="str">
        <f>MID(VLOOKUP(F21,영업사원!$A$4:$F$1048576,4,FALSE),8,1)</f>
        <v>2</v>
      </c>
      <c r="T21" t="s">
        <v>214</v>
      </c>
      <c r="V21" s="24"/>
      <c r="W21" s="23"/>
    </row>
    <row r="22" spans="1:23" x14ac:dyDescent="0.3">
      <c r="A22" t="s">
        <v>179</v>
      </c>
      <c r="B22" t="s">
        <v>181</v>
      </c>
      <c r="C22">
        <v>10000000</v>
      </c>
      <c r="D22" s="11">
        <v>41688</v>
      </c>
      <c r="E22" s="17">
        <v>43200</v>
      </c>
      <c r="F22" s="8" t="s">
        <v>163</v>
      </c>
      <c r="G22" s="18">
        <f t="shared" si="0"/>
        <v>3499200</v>
      </c>
      <c r="H22" s="19" t="str">
        <f t="shared" si="1"/>
        <v>남자</v>
      </c>
      <c r="I22" s="20" t="str">
        <f>MID(VLOOKUP(F22,영업사원!$A$4:$F$1048576,4,FALSE),8,1)</f>
        <v>1</v>
      </c>
      <c r="U22" s="12" t="s">
        <v>225</v>
      </c>
      <c r="V22" s="24">
        <v>5</v>
      </c>
      <c r="W22" s="23">
        <v>22000000</v>
      </c>
    </row>
    <row r="23" spans="1:23" x14ac:dyDescent="0.3">
      <c r="A23" t="s">
        <v>182</v>
      </c>
      <c r="B23" t="s">
        <v>166</v>
      </c>
      <c r="C23">
        <v>70000000</v>
      </c>
      <c r="D23" s="11">
        <v>40758</v>
      </c>
      <c r="E23" s="17">
        <v>167000</v>
      </c>
      <c r="F23" s="8" t="s">
        <v>12</v>
      </c>
      <c r="G23" s="18">
        <f t="shared" si="0"/>
        <v>18537000</v>
      </c>
      <c r="H23" s="19" t="str">
        <f t="shared" si="1"/>
        <v>여자</v>
      </c>
      <c r="I23" s="20" t="str">
        <f>MID(VLOOKUP(F23,영업사원!$A$4:$F$1048576,4,FALSE),8,1)</f>
        <v>2</v>
      </c>
      <c r="U23" s="12" t="s">
        <v>226</v>
      </c>
      <c r="V23" s="24">
        <v>2</v>
      </c>
      <c r="W23" s="23">
        <v>70000000</v>
      </c>
    </row>
    <row r="24" spans="1:23" x14ac:dyDescent="0.3">
      <c r="A24" t="s">
        <v>182</v>
      </c>
      <c r="B24" t="s">
        <v>162</v>
      </c>
      <c r="C24">
        <v>50000000</v>
      </c>
      <c r="D24" s="11">
        <v>41178</v>
      </c>
      <c r="E24" s="17">
        <v>170000</v>
      </c>
      <c r="F24" s="8" t="s">
        <v>183</v>
      </c>
      <c r="G24" s="18">
        <f t="shared" si="0"/>
        <v>16660000</v>
      </c>
      <c r="H24" s="19" t="str">
        <f t="shared" si="1"/>
        <v>여자</v>
      </c>
      <c r="I24" s="20" t="str">
        <f>MID(VLOOKUP(F24,영업사원!$A$4:$F$1048576,4,FALSE),8,1)</f>
        <v>2</v>
      </c>
      <c r="U24" s="12" t="s">
        <v>222</v>
      </c>
      <c r="V24" s="24">
        <v>2</v>
      </c>
      <c r="W24" s="23">
        <v>30000000</v>
      </c>
    </row>
    <row r="25" spans="1:23" x14ac:dyDescent="0.3">
      <c r="A25" t="s">
        <v>184</v>
      </c>
      <c r="B25" t="s">
        <v>166</v>
      </c>
      <c r="C25">
        <v>70000000</v>
      </c>
      <c r="D25" s="11">
        <v>40428</v>
      </c>
      <c r="E25" s="17">
        <v>158000</v>
      </c>
      <c r="F25" s="8" t="s">
        <v>8</v>
      </c>
      <c r="G25" s="18">
        <f t="shared" si="0"/>
        <v>19276000</v>
      </c>
      <c r="H25" s="19" t="str">
        <f t="shared" si="1"/>
        <v>남자</v>
      </c>
      <c r="I25" s="20" t="str">
        <f>MID(VLOOKUP(F25,영업사원!$A$4:$F$1048576,4,FALSE),8,1)</f>
        <v>1</v>
      </c>
    </row>
    <row r="26" spans="1:23" x14ac:dyDescent="0.3">
      <c r="A26" t="s">
        <v>184</v>
      </c>
      <c r="B26" t="s">
        <v>171</v>
      </c>
      <c r="C26">
        <v>30000000</v>
      </c>
      <c r="D26" s="11">
        <v>41838</v>
      </c>
      <c r="E26" s="17">
        <v>38900</v>
      </c>
      <c r="F26" s="8" t="s">
        <v>180</v>
      </c>
      <c r="G26" s="18">
        <f t="shared" si="0"/>
        <v>2956400</v>
      </c>
      <c r="H26" s="19" t="str">
        <f t="shared" si="1"/>
        <v>여자</v>
      </c>
      <c r="I26" s="20" t="str">
        <f>MID(VLOOKUP(F26,영업사원!$A$4:$F$1048576,4,FALSE),8,1)</f>
        <v>2</v>
      </c>
    </row>
    <row r="27" spans="1:23" x14ac:dyDescent="0.3">
      <c r="A27" t="s">
        <v>185</v>
      </c>
      <c r="B27" t="s">
        <v>169</v>
      </c>
      <c r="C27">
        <v>30000000</v>
      </c>
      <c r="D27" s="11">
        <v>41178</v>
      </c>
      <c r="E27" s="17">
        <v>38340</v>
      </c>
      <c r="F27" s="8" t="s">
        <v>172</v>
      </c>
      <c r="G27" s="18">
        <f t="shared" si="0"/>
        <v>3757320</v>
      </c>
      <c r="H27" s="19" t="str">
        <f t="shared" si="1"/>
        <v>여자</v>
      </c>
      <c r="I27" s="20" t="str">
        <f>MID(VLOOKUP(F27,영업사원!$A$4:$F$1048576,4,FALSE),8,1)</f>
        <v>2</v>
      </c>
    </row>
    <row r="28" spans="1:23" x14ac:dyDescent="0.3">
      <c r="A28" t="s">
        <v>185</v>
      </c>
      <c r="B28" t="s">
        <v>158</v>
      </c>
      <c r="C28">
        <v>70000000</v>
      </c>
      <c r="D28" s="11">
        <v>41778</v>
      </c>
      <c r="E28" s="17">
        <v>124700</v>
      </c>
      <c r="F28" s="8" t="s">
        <v>175</v>
      </c>
      <c r="G28" s="18">
        <f t="shared" si="0"/>
        <v>9726600</v>
      </c>
      <c r="H28" s="19" t="str">
        <f t="shared" si="1"/>
        <v>남자</v>
      </c>
      <c r="I28" s="20" t="str">
        <f>MID(VLOOKUP(F28,영업사원!$A$4:$F$1048576,4,FALSE),8,1)</f>
        <v>1</v>
      </c>
    </row>
    <row r="29" spans="1:23" x14ac:dyDescent="0.3">
      <c r="A29" t="s">
        <v>186</v>
      </c>
      <c r="B29" t="s">
        <v>181</v>
      </c>
      <c r="C29">
        <v>30000000</v>
      </c>
      <c r="D29" s="11">
        <v>41298</v>
      </c>
      <c r="E29" s="17">
        <v>71450</v>
      </c>
      <c r="F29" s="8" t="s">
        <v>187</v>
      </c>
      <c r="G29" s="18">
        <f t="shared" si="0"/>
        <v>6716300</v>
      </c>
      <c r="H29" s="19" t="str">
        <f t="shared" si="1"/>
        <v>여자</v>
      </c>
      <c r="I29" s="20" t="str">
        <f>MID(VLOOKUP(F29,영업사원!$A$4:$F$1048576,4,FALSE),8,1)</f>
        <v>2</v>
      </c>
    </row>
    <row r="30" spans="1:23" x14ac:dyDescent="0.3">
      <c r="A30" t="s">
        <v>186</v>
      </c>
      <c r="B30" t="s">
        <v>169</v>
      </c>
      <c r="C30">
        <v>20000000</v>
      </c>
      <c r="D30" s="11">
        <v>41688</v>
      </c>
      <c r="E30" s="8">
        <v>24500</v>
      </c>
      <c r="F30" s="8" t="s">
        <v>167</v>
      </c>
      <c r="G30" s="18">
        <f t="shared" si="0"/>
        <v>1984500</v>
      </c>
      <c r="H30" s="19" t="str">
        <f t="shared" si="1"/>
        <v>남자</v>
      </c>
      <c r="I30" s="20" t="str">
        <f>MID(VLOOKUP(F30,영업사원!$A$4:$F$1048576,4,FALSE),8,1)</f>
        <v>1</v>
      </c>
    </row>
    <row r="31" spans="1:23" x14ac:dyDescent="0.3">
      <c r="A31" t="s">
        <v>188</v>
      </c>
      <c r="B31" t="s">
        <v>169</v>
      </c>
      <c r="C31">
        <v>70000000</v>
      </c>
      <c r="D31" s="11">
        <v>41778</v>
      </c>
      <c r="E31" s="8">
        <v>124700</v>
      </c>
      <c r="F31" s="8" t="s">
        <v>178</v>
      </c>
      <c r="G31" s="18">
        <f t="shared" si="0"/>
        <v>9726600</v>
      </c>
      <c r="H31" s="19" t="str">
        <f t="shared" si="1"/>
        <v>여자</v>
      </c>
      <c r="I31" s="20" t="str">
        <f>MID(VLOOKUP(F31,영업사원!$A$4:$F$1048576,4,FALSE),8,1)</f>
        <v>2</v>
      </c>
    </row>
    <row r="32" spans="1:23" x14ac:dyDescent="0.3">
      <c r="A32" t="s">
        <v>188</v>
      </c>
      <c r="B32" t="s">
        <v>158</v>
      </c>
      <c r="C32">
        <v>50000000</v>
      </c>
      <c r="D32" s="11">
        <v>40638</v>
      </c>
      <c r="E32" s="8">
        <v>124000</v>
      </c>
      <c r="F32" s="8" t="s">
        <v>189</v>
      </c>
      <c r="G32" s="18">
        <f t="shared" si="0"/>
        <v>14260000</v>
      </c>
      <c r="H32" s="19" t="str">
        <f t="shared" si="1"/>
        <v>남자</v>
      </c>
      <c r="I32" s="20" t="str">
        <f>MID(VLOOKUP(F32,영업사원!$A$4:$F$1048576,4,FALSE),8,1)</f>
        <v>1</v>
      </c>
    </row>
    <row r="33" spans="1:9" x14ac:dyDescent="0.3">
      <c r="A33" t="s">
        <v>190</v>
      </c>
      <c r="B33" t="s">
        <v>169</v>
      </c>
      <c r="C33">
        <v>20000000</v>
      </c>
      <c r="D33" s="11">
        <v>41688</v>
      </c>
      <c r="E33" s="8">
        <v>24500</v>
      </c>
      <c r="F33" s="8" t="s">
        <v>175</v>
      </c>
      <c r="G33" s="18">
        <f t="shared" si="0"/>
        <v>1984500</v>
      </c>
      <c r="H33" s="19" t="str">
        <f t="shared" si="1"/>
        <v>남자</v>
      </c>
      <c r="I33" s="20" t="str">
        <f>MID(VLOOKUP(F33,영업사원!$A$4:$F$1048576,4,FALSE),8,1)</f>
        <v>1</v>
      </c>
    </row>
    <row r="34" spans="1:9" x14ac:dyDescent="0.3">
      <c r="A34" t="s">
        <v>190</v>
      </c>
      <c r="B34" t="s">
        <v>166</v>
      </c>
      <c r="C34">
        <v>100000000</v>
      </c>
      <c r="D34" s="11">
        <v>41238</v>
      </c>
      <c r="E34" s="8">
        <v>254000</v>
      </c>
      <c r="F34" s="8" t="s">
        <v>12</v>
      </c>
      <c r="G34" s="18">
        <f t="shared" si="0"/>
        <v>24384000</v>
      </c>
      <c r="H34" s="19" t="str">
        <f t="shared" si="1"/>
        <v>여자</v>
      </c>
      <c r="I34" s="20" t="str">
        <f>MID(VLOOKUP(F34,영업사원!$A$4:$F$1048576,4,FALSE),8,1)</f>
        <v>2</v>
      </c>
    </row>
    <row r="35" spans="1:9" x14ac:dyDescent="0.3">
      <c r="A35" t="s">
        <v>191</v>
      </c>
      <c r="B35" t="s">
        <v>166</v>
      </c>
      <c r="C35">
        <v>50000000</v>
      </c>
      <c r="D35" s="11">
        <v>40098</v>
      </c>
      <c r="E35" s="8">
        <v>95600</v>
      </c>
      <c r="F35" s="8" t="s">
        <v>192</v>
      </c>
      <c r="G35" s="18">
        <f t="shared" si="0"/>
        <v>12714800</v>
      </c>
      <c r="H35" s="19" t="str">
        <f t="shared" si="1"/>
        <v>남자</v>
      </c>
      <c r="I35" s="20" t="str">
        <f>MID(VLOOKUP(F35,영업사원!$A$4:$F$1048576,4,FALSE),8,1)</f>
        <v>1</v>
      </c>
    </row>
    <row r="36" spans="1:9" x14ac:dyDescent="0.3">
      <c r="A36" t="s">
        <v>191</v>
      </c>
      <c r="B36" t="s">
        <v>171</v>
      </c>
      <c r="C36">
        <v>30000000</v>
      </c>
      <c r="D36" s="11">
        <v>41178</v>
      </c>
      <c r="E36" s="8">
        <v>49800</v>
      </c>
      <c r="F36" s="8" t="s">
        <v>177</v>
      </c>
      <c r="G36" s="18">
        <f t="shared" si="0"/>
        <v>4880400</v>
      </c>
      <c r="H36" s="19" t="str">
        <f t="shared" si="1"/>
        <v>남자</v>
      </c>
      <c r="I36" s="20" t="str">
        <f>MID(VLOOKUP(F36,영업사원!$A$4:$F$1048576,4,FALSE),8,1)</f>
        <v>1</v>
      </c>
    </row>
    <row r="37" spans="1:9" x14ac:dyDescent="0.3">
      <c r="A37" t="s">
        <v>193</v>
      </c>
      <c r="B37" t="s">
        <v>166</v>
      </c>
      <c r="C37">
        <v>100000000</v>
      </c>
      <c r="D37" s="11">
        <v>41238</v>
      </c>
      <c r="E37" s="8">
        <v>254000</v>
      </c>
      <c r="F37" s="8" t="s">
        <v>165</v>
      </c>
      <c r="G37" s="18">
        <f t="shared" si="0"/>
        <v>24384000</v>
      </c>
      <c r="H37" s="19" t="str">
        <f t="shared" si="1"/>
        <v>남자</v>
      </c>
      <c r="I37" s="20" t="str">
        <f>MID(VLOOKUP(F37,영업사원!$A$4:$F$1048576,4,FALSE),8,1)</f>
        <v>1</v>
      </c>
    </row>
    <row r="38" spans="1:9" x14ac:dyDescent="0.3">
      <c r="A38" t="s">
        <v>193</v>
      </c>
      <c r="B38" t="s">
        <v>171</v>
      </c>
      <c r="C38">
        <v>30000000</v>
      </c>
      <c r="D38" s="11">
        <v>41838</v>
      </c>
      <c r="E38" s="8">
        <v>38900</v>
      </c>
      <c r="F38" s="8" t="s">
        <v>161</v>
      </c>
      <c r="G38" s="18">
        <f t="shared" si="0"/>
        <v>2956400</v>
      </c>
      <c r="H38" s="19" t="str">
        <f t="shared" si="1"/>
        <v>남자</v>
      </c>
      <c r="I38" s="20" t="str">
        <f>MID(VLOOKUP(F38,영업사원!$A$4:$F$1048576,4,FALSE),8,1)</f>
        <v>1</v>
      </c>
    </row>
    <row r="39" spans="1:9" x14ac:dyDescent="0.3">
      <c r="A39" t="s">
        <v>194</v>
      </c>
      <c r="B39" t="s">
        <v>158</v>
      </c>
      <c r="C39">
        <v>50000000</v>
      </c>
      <c r="D39" s="11">
        <v>40638</v>
      </c>
      <c r="E39" s="8">
        <v>124000</v>
      </c>
      <c r="F39" s="8" t="s">
        <v>174</v>
      </c>
      <c r="G39" s="18">
        <f t="shared" si="0"/>
        <v>14260000</v>
      </c>
      <c r="H39" s="19" t="str">
        <f t="shared" si="1"/>
        <v>남자</v>
      </c>
      <c r="I39" s="20" t="str">
        <f>MID(VLOOKUP(F39,영업사원!$A$4:$F$1048576,4,FALSE),8,1)</f>
        <v>1</v>
      </c>
    </row>
    <row r="40" spans="1:9" x14ac:dyDescent="0.3">
      <c r="A40" t="s">
        <v>194</v>
      </c>
      <c r="B40" t="s">
        <v>162</v>
      </c>
      <c r="C40">
        <v>50000000</v>
      </c>
      <c r="D40" s="11">
        <v>41178</v>
      </c>
      <c r="E40" s="8">
        <v>170000</v>
      </c>
      <c r="F40" s="8" t="s">
        <v>165</v>
      </c>
      <c r="G40" s="18">
        <f t="shared" si="0"/>
        <v>16660000</v>
      </c>
      <c r="H40" s="19" t="str">
        <f t="shared" si="1"/>
        <v>남자</v>
      </c>
      <c r="I40" s="20" t="str">
        <f>MID(VLOOKUP(F40,영업사원!$A$4:$F$1048576,4,FALSE),8,1)</f>
        <v>1</v>
      </c>
    </row>
    <row r="41" spans="1:9" x14ac:dyDescent="0.3">
      <c r="A41" t="s">
        <v>195</v>
      </c>
      <c r="B41" t="s">
        <v>158</v>
      </c>
      <c r="C41">
        <v>55000000</v>
      </c>
      <c r="D41" s="11">
        <v>41448</v>
      </c>
      <c r="E41" s="8">
        <v>112100</v>
      </c>
      <c r="F41" s="8" t="s">
        <v>183</v>
      </c>
      <c r="G41" s="18">
        <f t="shared" si="0"/>
        <v>9976900</v>
      </c>
      <c r="H41" s="19" t="str">
        <f t="shared" si="1"/>
        <v>여자</v>
      </c>
      <c r="I41" s="20" t="str">
        <f>MID(VLOOKUP(F41,영업사원!$A$4:$F$1048576,4,FALSE),8,1)</f>
        <v>2</v>
      </c>
    </row>
    <row r="42" spans="1:9" x14ac:dyDescent="0.3">
      <c r="A42" t="s">
        <v>195</v>
      </c>
      <c r="B42" t="s">
        <v>169</v>
      </c>
      <c r="C42">
        <v>30000000</v>
      </c>
      <c r="D42" s="11">
        <v>41178</v>
      </c>
      <c r="E42" s="8">
        <v>38340</v>
      </c>
      <c r="F42" s="8" t="s">
        <v>187</v>
      </c>
      <c r="G42" s="18">
        <f t="shared" si="0"/>
        <v>3757320</v>
      </c>
      <c r="H42" s="19" t="str">
        <f t="shared" si="1"/>
        <v>여자</v>
      </c>
      <c r="I42" s="20" t="str">
        <f>MID(VLOOKUP(F42,영업사원!$A$4:$F$1048576,4,FALSE),8,1)</f>
        <v>2</v>
      </c>
    </row>
  </sheetData>
  <mergeCells count="1">
    <mergeCell ref="A1:E1"/>
  </mergeCells>
  <phoneticPr fontId="3" type="noConversion"/>
  <conditionalFormatting sqref="F4:F1048576">
    <cfRule type="expression" dxfId="3" priority="1">
      <formula>$F4&lt;&gt;""</formula>
    </cfRule>
  </conditionalFormatting>
  <conditionalFormatting sqref="A4:F1048576">
    <cfRule type="expression" dxfId="2" priority="3">
      <formula>OR($C4 &gt;= 100000000,$E4&gt;= 300000)</formula>
    </cfRule>
  </conditionalFormatting>
  <conditionalFormatting sqref="A4:G1048576">
    <cfRule type="expression" dxfId="1" priority="2">
      <formula>$A4 &lt;&gt; ""</formula>
    </cfRule>
  </conditionalFormatting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M2" sqref="M2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Main</vt:lpstr>
      <vt:lpstr>영업사원</vt:lpstr>
      <vt:lpstr>고객명단</vt:lpstr>
      <vt:lpstr>보험계약현황</vt:lpstr>
      <vt:lpstr>보험증</vt:lpstr>
      <vt:lpstr>계약현황차트</vt:lpstr>
      <vt:lpstr>보험계약현황!Criteria</vt:lpstr>
      <vt:lpstr>보험계약현황!Extract</vt:lpstr>
      <vt:lpstr>수당</vt:lpstr>
      <vt:lpstr>직급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정보기술</dc:creator>
  <cp:lastModifiedBy>Administrator</cp:lastModifiedBy>
  <dcterms:created xsi:type="dcterms:W3CDTF">2020-11-21T05:37:56Z</dcterms:created>
  <dcterms:modified xsi:type="dcterms:W3CDTF">2020-12-19T15:31:27Z</dcterms:modified>
</cp:coreProperties>
</file>