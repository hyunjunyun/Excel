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hjun\git\Excel\지방대회\2017지방\"/>
    </mc:Choice>
  </mc:AlternateContent>
  <xr:revisionPtr revIDLastSave="0" documentId="13_ncr:1_{0F318FAA-F217-468E-9984-E4614EC49CBF}" xr6:coauthVersionLast="46" xr6:coauthVersionMax="46" xr10:uidLastSave="{00000000-0000-0000-0000-000000000000}"/>
  <bookViews>
    <workbookView xWindow="29730" yWindow="2250" windowWidth="15930" windowHeight="11385" xr2:uid="{6B1DDC27-047C-4432-AEA3-C2128E77DAEC}"/>
  </bookViews>
  <sheets>
    <sheet name="Main" sheetId="1" r:id="rId1"/>
    <sheet name="고객정보" sheetId="2" r:id="rId2"/>
    <sheet name="예약정보" sheetId="3" r:id="rId3"/>
    <sheet name="열차분석" sheetId="5" r:id="rId4"/>
    <sheet name="승차권발권" sheetId="6" r:id="rId5"/>
  </sheets>
  <functionGroups builtInGroupCount="19"/>
  <definedNames>
    <definedName name="로그인여부">Main!$A$1</definedName>
    <definedName name="유저이름">Main!$B$1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1" i="6" l="1"/>
</calcChain>
</file>

<file path=xl/sharedStrings.xml><?xml version="1.0" encoding="utf-8"?>
<sst xmlns="http://schemas.openxmlformats.org/spreadsheetml/2006/main" count="352" uniqueCount="182">
  <si>
    <t>아이디</t>
  </si>
  <si>
    <t>비밀번호</t>
  </si>
  <si>
    <t>성명</t>
  </si>
  <si>
    <t>주민등록번호</t>
  </si>
  <si>
    <t>연락처</t>
  </si>
  <si>
    <t>user01</t>
  </si>
  <si>
    <t>박가희</t>
  </si>
  <si>
    <t>950508-2******</t>
  </si>
  <si>
    <t>010-1234-5679</t>
  </si>
  <si>
    <t>user02</t>
  </si>
  <si>
    <t>성지영</t>
  </si>
  <si>
    <t>821103-1******</t>
  </si>
  <si>
    <t>010-1234-5680</t>
  </si>
  <si>
    <t>user03</t>
  </si>
  <si>
    <t>김종철</t>
  </si>
  <si>
    <t>920319-2******</t>
  </si>
  <si>
    <t>010-1234-5681</t>
  </si>
  <si>
    <t>user04</t>
  </si>
  <si>
    <t>송하나</t>
  </si>
  <si>
    <t>760819-2******</t>
  </si>
  <si>
    <t>010-1234-5682</t>
  </si>
  <si>
    <t>user05</t>
  </si>
  <si>
    <t>우마왕</t>
  </si>
  <si>
    <t>760915-2******</t>
  </si>
  <si>
    <t>010-1234-5683</t>
  </si>
  <si>
    <t>user06</t>
  </si>
  <si>
    <t>신해철</t>
  </si>
  <si>
    <t>850512-2******</t>
  </si>
  <si>
    <t>010-1234-5684</t>
  </si>
  <si>
    <t>user07</t>
  </si>
  <si>
    <t>우혜정</t>
  </si>
  <si>
    <t>860407-1******</t>
  </si>
  <si>
    <t>010-1234-5685</t>
  </si>
  <si>
    <t>user08</t>
  </si>
  <si>
    <t>김수현</t>
  </si>
  <si>
    <t>901130-1******</t>
  </si>
  <si>
    <t>010-1234-5686</t>
  </si>
  <si>
    <t>user09</t>
  </si>
  <si>
    <t>김한솔</t>
  </si>
  <si>
    <t>860322-2******</t>
  </si>
  <si>
    <t>010-1234-5687</t>
  </si>
  <si>
    <t>user10</t>
  </si>
  <si>
    <t>이혜정</t>
  </si>
  <si>
    <t>900410-2******</t>
  </si>
  <si>
    <t>010-1234-5688</t>
  </si>
  <si>
    <t>user11</t>
  </si>
  <si>
    <t>이한별</t>
  </si>
  <si>
    <t>860308-1******</t>
  </si>
  <si>
    <t>010-1234-5689</t>
  </si>
  <si>
    <t>user12</t>
  </si>
  <si>
    <t>박다혜</t>
  </si>
  <si>
    <t>961124-1******</t>
  </si>
  <si>
    <t>010-1234-5690</t>
  </si>
  <si>
    <t>user13</t>
  </si>
  <si>
    <t>송아지</t>
  </si>
  <si>
    <t>870109-1******</t>
  </si>
  <si>
    <t>010-1234-5691</t>
  </si>
  <si>
    <t>user14</t>
  </si>
  <si>
    <t>김호영</t>
  </si>
  <si>
    <t>931125-2******</t>
  </si>
  <si>
    <t>010-1234-5692</t>
  </si>
  <si>
    <t>user15</t>
  </si>
  <si>
    <t>비영객</t>
  </si>
  <si>
    <t>930718-2******</t>
  </si>
  <si>
    <t>010-1234-5693</t>
  </si>
  <si>
    <t>user16</t>
  </si>
  <si>
    <t>주희양</t>
  </si>
  <si>
    <t>841123-1******</t>
  </si>
  <si>
    <t>010-1234-5694</t>
  </si>
  <si>
    <t>user17</t>
  </si>
  <si>
    <t>나인호</t>
  </si>
  <si>
    <t>890214-1******</t>
  </si>
  <si>
    <t>010-1234-5695</t>
  </si>
  <si>
    <t>user18</t>
  </si>
  <si>
    <t>강민성</t>
  </si>
  <si>
    <t>830330-1******</t>
  </si>
  <si>
    <t>010-1234-5696</t>
  </si>
  <si>
    <t>user19</t>
  </si>
  <si>
    <t>박가린</t>
  </si>
  <si>
    <t>951112-2******</t>
  </si>
  <si>
    <t>010-1234-5697</t>
  </si>
  <si>
    <t>user20</t>
  </si>
  <si>
    <t>이창우</t>
  </si>
  <si>
    <t>820911-1******</t>
  </si>
  <si>
    <t>010-1234-5698</t>
  </si>
  <si>
    <t>user21</t>
  </si>
  <si>
    <t>사이다</t>
  </si>
  <si>
    <t>840201-1******</t>
  </si>
  <si>
    <t>010-1234-5699</t>
  </si>
  <si>
    <t>user22</t>
  </si>
  <si>
    <t>최진실</t>
  </si>
  <si>
    <t>881022-1******</t>
  </si>
  <si>
    <t>010-1234-5700</t>
  </si>
  <si>
    <t>user23</t>
  </si>
  <si>
    <t>임재덕</t>
  </si>
  <si>
    <t>900211-1******</t>
  </si>
  <si>
    <t>010-1234-5701</t>
  </si>
  <si>
    <t>user24</t>
  </si>
  <si>
    <t>박기영</t>
  </si>
  <si>
    <t>890405-1******</t>
  </si>
  <si>
    <t>010-1234-5702</t>
  </si>
  <si>
    <t>열차 종류</t>
  </si>
  <si>
    <t>객실등급</t>
  </si>
  <si>
    <t>좌석방향</t>
  </si>
  <si>
    <t>좌석번호</t>
  </si>
  <si>
    <t>승객구분</t>
  </si>
  <si>
    <t>회원정보</t>
  </si>
  <si>
    <t>출발역</t>
  </si>
  <si>
    <t>도착역</t>
  </si>
  <si>
    <t>출발시간</t>
  </si>
  <si>
    <t>거리(km)</t>
  </si>
  <si>
    <t>운인요금</t>
  </si>
  <si>
    <t>발권일자</t>
  </si>
  <si>
    <t>KTX</t>
  </si>
  <si>
    <t>일반석</t>
  </si>
  <si>
    <t>역방향</t>
  </si>
  <si>
    <t>서울</t>
  </si>
  <si>
    <t>부산</t>
  </si>
  <si>
    <t>무궁화호</t>
  </si>
  <si>
    <t>비회원</t>
  </si>
  <si>
    <t>순방향</t>
  </si>
  <si>
    <t>대전</t>
  </si>
  <si>
    <t>VIP석</t>
  </si>
  <si>
    <t>C0,O0,A1</t>
  </si>
  <si>
    <t>대구</t>
  </si>
  <si>
    <t>C0,O0,A4</t>
  </si>
  <si>
    <t>새마을호</t>
  </si>
  <si>
    <t>울산</t>
  </si>
  <si>
    <t>목포</t>
  </si>
  <si>
    <t>F1, F2, F3</t>
  </si>
  <si>
    <t>C1,O2,A0</t>
  </si>
  <si>
    <t>수원</t>
  </si>
  <si>
    <t>인천</t>
  </si>
  <si>
    <t>C0,O2,A0</t>
  </si>
  <si>
    <t>C2, D2</t>
  </si>
  <si>
    <t>C1,O0,A1</t>
  </si>
  <si>
    <t>C9, D9</t>
  </si>
  <si>
    <t>C1,O2,A1</t>
  </si>
  <si>
    <t>C0,O1,A0</t>
  </si>
  <si>
    <t>A2, B2, C2, D2</t>
  </si>
  <si>
    <t>C2,O0,A2</t>
  </si>
  <si>
    <t>B6, C6</t>
  </si>
  <si>
    <t>C0,O0,A2</t>
  </si>
  <si>
    <t>E2</t>
  </si>
  <si>
    <t>E1, E2, E3</t>
  </si>
  <si>
    <t>C1,O0,A2</t>
  </si>
  <si>
    <t>F1, F2, F3, F4</t>
  </si>
  <si>
    <t>A9, B7, B9, C7, C9, D9</t>
  </si>
  <si>
    <t>A8, B8, C8, D8</t>
  </si>
  <si>
    <t>E2, E3</t>
  </si>
  <si>
    <t>A2, B2</t>
  </si>
  <si>
    <t>F7</t>
  </si>
  <si>
    <t>B4, B6, B8</t>
  </si>
  <si>
    <t>D10</t>
  </si>
  <si>
    <t>B7</t>
  </si>
  <si>
    <t>C2,O1,A0</t>
  </si>
  <si>
    <t>C4, C6</t>
  </si>
  <si>
    <t>E3, F3</t>
  </si>
  <si>
    <t>A2</t>
  </si>
  <si>
    <t>A4, B4, C4, D4</t>
  </si>
  <si>
    <t>E1</t>
  </si>
  <si>
    <t>E3, E4, E5</t>
  </si>
  <si>
    <t>예약일자
(출발일자)</t>
    <phoneticPr fontId="1" type="noConversion"/>
  </si>
  <si>
    <t xml:space="preserve">서울 </t>
    <phoneticPr fontId="1" type="noConversion"/>
  </si>
  <si>
    <t>수원</t>
    <phoneticPr fontId="1" type="noConversion"/>
  </si>
  <si>
    <t>인천</t>
    <phoneticPr fontId="1" type="noConversion"/>
  </si>
  <si>
    <t>대구</t>
    <phoneticPr fontId="1" type="noConversion"/>
  </si>
  <si>
    <t>대전</t>
    <phoneticPr fontId="1" type="noConversion"/>
  </si>
  <si>
    <t>목포</t>
    <phoneticPr fontId="1" type="noConversion"/>
  </si>
  <si>
    <t>울산</t>
    <phoneticPr fontId="1" type="noConversion"/>
  </si>
  <si>
    <t>부산</t>
    <phoneticPr fontId="1" type="noConversion"/>
  </si>
  <si>
    <t>서울</t>
    <phoneticPr fontId="1" type="noConversion"/>
  </si>
  <si>
    <t>-</t>
    <phoneticPr fontId="1" type="noConversion"/>
  </si>
  <si>
    <t>승차권</t>
    <phoneticPr fontId="1" type="noConversion"/>
  </si>
  <si>
    <t>예약일자</t>
    <phoneticPr fontId="1" type="noConversion"/>
  </si>
  <si>
    <t>출발역</t>
    <phoneticPr fontId="1" type="noConversion"/>
  </si>
  <si>
    <t>도착역</t>
    <phoneticPr fontId="1" type="noConversion"/>
  </si>
  <si>
    <t>출발시간</t>
    <phoneticPr fontId="1" type="noConversion"/>
  </si>
  <si>
    <t>객실등급</t>
    <phoneticPr fontId="1" type="noConversion"/>
  </si>
  <si>
    <t>좌석번호</t>
    <phoneticPr fontId="1" type="noConversion"/>
  </si>
  <si>
    <t>운임요금</t>
    <phoneticPr fontId="1" type="noConversion"/>
  </si>
  <si>
    <t>발권일시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</si>
</sst>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h:mm;@"/>
    <numFmt numFmtId="177" formatCode="yyyy&quot;년&quot;\ m&quot;월&quot;\ d&quot;일&quot;;@"/>
  </numFmts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3" borderId="0" xfId="0" applyFont="1" applyFill="1">
      <alignment vertical="center"/>
    </xf>
    <xf numFmtId="0" fontId="2" fillId="0" borderId="0" xfId="0" applyFont="1">
      <alignment vertical="center"/>
    </xf>
    <xf numFmtId="14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0" fillId="2" borderId="0" xfId="0" applyFill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0" fillId="0" borderId="0" xfId="0" applyFont="1">
      <alignment vertical="center"/>
    </xf>
    <xf numFmtId="0" fontId="3" fillId="0" borderId="0" xfId="0" applyFont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0" fontId="3" fillId="0" borderId="0" xfId="0" applyFont="1" applyFill="1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Border="1">
      <alignment vertical="center"/>
    </xf>
    <xf numFmtId="177" fontId="0" fillId="0" borderId="5" xfId="0" applyNumberFormat="1" applyBorder="1" applyAlignment="1">
      <alignment horizontal="left" vertical="center"/>
    </xf>
    <xf numFmtId="177" fontId="0" fillId="0" borderId="6" xfId="0" applyNumberFormat="1" applyBorder="1" applyAlignment="1">
      <alignment horizontal="left" vertical="center"/>
    </xf>
    <xf numFmtId="177" fontId="0" fillId="0" borderId="7" xfId="0" applyNumberFormat="1" applyBorder="1" applyAlignment="1">
      <alignment horizontal="left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4" fillId="0" borderId="2" xfId="0" applyFont="1" applyBorder="1" applyAlignment="1">
      <alignment horizontal="left" wrapText="1"/>
    </xf>
    <xf numFmtId="0" fontId="4" fillId="0" borderId="3" xfId="0" applyFont="1" applyBorder="1" applyAlignment="1">
      <alignment horizontal="left" wrapText="1"/>
    </xf>
    <xf numFmtId="0" fontId="4" fillId="0" borderId="4" xfId="0" applyFont="1" applyBorder="1" applyAlignment="1">
      <alignment horizontal="left" wrapText="1"/>
    </xf>
  </cellXfs>
  <cellStyles count="1">
    <cellStyle name="표준" xfId="0" builtinId="0"/>
  </cellStyles>
  <dxfs count="3">
    <dxf>
      <font>
        <b/>
        <i/>
      </font>
      <fill>
        <patternFill>
          <bgColor rgb="FFC0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466726</xdr:colOff>
      <xdr:row>0</xdr:row>
      <xdr:rowOff>190501</xdr:rowOff>
    </xdr:from>
    <xdr:to>
      <xdr:col>7</xdr:col>
      <xdr:colOff>352426</xdr:colOff>
      <xdr:row>4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838326" y="190501"/>
          <a:ext cx="3314700" cy="7619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ko-KR" altLang="en-US" sz="2800" b="1">
              <a:ln w="19050">
                <a:solidFill>
                  <a:schemeClr val="tx1"/>
                </a:solidFill>
              </a:ln>
              <a:noFill/>
            </a:rPr>
            <a:t>열차예매 프로그램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5</xdr:row>
          <xdr:rowOff>142875</xdr:rowOff>
        </xdr:from>
        <xdr:to>
          <xdr:col>6</xdr:col>
          <xdr:colOff>504825</xdr:colOff>
          <xdr:row>7</xdr:row>
          <xdr:rowOff>123825</xdr:rowOff>
        </xdr:to>
        <xdr:sp macro="" textlink="">
          <xdr:nvSpPr>
            <xdr:cNvPr id="1025" name="Btn로그인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8</xdr:row>
          <xdr:rowOff>47625</xdr:rowOff>
        </xdr:from>
        <xdr:to>
          <xdr:col>6</xdr:col>
          <xdr:colOff>504825</xdr:colOff>
          <xdr:row>10</xdr:row>
          <xdr:rowOff>28575</xdr:rowOff>
        </xdr:to>
        <xdr:sp macro="" textlink="">
          <xdr:nvSpPr>
            <xdr:cNvPr id="1026" name="Btn승차권예매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11</xdr:row>
          <xdr:rowOff>0</xdr:rowOff>
        </xdr:from>
        <xdr:to>
          <xdr:col>6</xdr:col>
          <xdr:colOff>504825</xdr:colOff>
          <xdr:row>12</xdr:row>
          <xdr:rowOff>190500</xdr:rowOff>
        </xdr:to>
        <xdr:sp macro="" textlink="">
          <xdr:nvSpPr>
            <xdr:cNvPr id="1027" name="Btn승차권발매취소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13</xdr:row>
          <xdr:rowOff>171450</xdr:rowOff>
        </xdr:from>
        <xdr:to>
          <xdr:col>6</xdr:col>
          <xdr:colOff>485775</xdr:colOff>
          <xdr:row>15</xdr:row>
          <xdr:rowOff>152400</xdr:rowOff>
        </xdr:to>
        <xdr:sp macro="" textlink="">
          <xdr:nvSpPr>
            <xdr:cNvPr id="1028" name="Btn열차분석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257175</xdr:colOff>
          <xdr:row>16</xdr:row>
          <xdr:rowOff>123825</xdr:rowOff>
        </xdr:from>
        <xdr:to>
          <xdr:col>6</xdr:col>
          <xdr:colOff>495300</xdr:colOff>
          <xdr:row>18</xdr:row>
          <xdr:rowOff>104775</xdr:rowOff>
        </xdr:to>
        <xdr:sp macro="" textlink="">
          <xdr:nvSpPr>
            <xdr:cNvPr id="1029" name="Btn종료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A393E0-64BC-4C9B-9D61-DF8983B8E639}">
  <sheetPr codeName="Sheet1"/>
  <dimension ref="A1:B1"/>
  <sheetViews>
    <sheetView showGridLines="0" tabSelected="1" workbookViewId="0">
      <selection activeCell="H7" sqref="H7"/>
    </sheetView>
  </sheetViews>
  <sheetFormatPr defaultRowHeight="16.5" x14ac:dyDescent="0.3"/>
  <sheetData>
    <row r="1" spans="1:2" x14ac:dyDescent="0.3">
      <c r="A1" s="3" t="b">
        <v>1</v>
      </c>
      <c r="B1" s="4" t="s">
        <v>6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9" r:id="rId4" name="Btn종료">
          <controlPr defaultSize="0" autoLine="0" autoPict="0" r:id="rId5">
            <anchor moveWithCells="1">
              <from>
                <xdr:col>3</xdr:col>
                <xdr:colOff>257175</xdr:colOff>
                <xdr:row>16</xdr:row>
                <xdr:rowOff>123825</xdr:rowOff>
              </from>
              <to>
                <xdr:col>6</xdr:col>
                <xdr:colOff>495300</xdr:colOff>
                <xdr:row>18</xdr:row>
                <xdr:rowOff>104775</xdr:rowOff>
              </to>
            </anchor>
          </controlPr>
        </control>
      </mc:Choice>
      <mc:Fallback>
        <control shapeId="1029" r:id="rId4" name="Btn종료"/>
      </mc:Fallback>
    </mc:AlternateContent>
    <mc:AlternateContent xmlns:mc="http://schemas.openxmlformats.org/markup-compatibility/2006">
      <mc:Choice Requires="x14">
        <control shapeId="1028" r:id="rId6" name="Btn열차분석">
          <controlPr defaultSize="0" autoLine="0" r:id="rId7">
            <anchor moveWithCells="1">
              <from>
                <xdr:col>3</xdr:col>
                <xdr:colOff>247650</xdr:colOff>
                <xdr:row>13</xdr:row>
                <xdr:rowOff>171450</xdr:rowOff>
              </from>
              <to>
                <xdr:col>6</xdr:col>
                <xdr:colOff>485775</xdr:colOff>
                <xdr:row>15</xdr:row>
                <xdr:rowOff>152400</xdr:rowOff>
              </to>
            </anchor>
          </controlPr>
        </control>
      </mc:Choice>
      <mc:Fallback>
        <control shapeId="1028" r:id="rId6" name="Btn열차분석"/>
      </mc:Fallback>
    </mc:AlternateContent>
    <mc:AlternateContent xmlns:mc="http://schemas.openxmlformats.org/markup-compatibility/2006">
      <mc:Choice Requires="x14">
        <control shapeId="1027" r:id="rId8" name="Btn승차권발매취소">
          <controlPr defaultSize="0" autoLine="0" r:id="rId9">
            <anchor moveWithCells="1">
              <from>
                <xdr:col>3</xdr:col>
                <xdr:colOff>266700</xdr:colOff>
                <xdr:row>11</xdr:row>
                <xdr:rowOff>0</xdr:rowOff>
              </from>
              <to>
                <xdr:col>6</xdr:col>
                <xdr:colOff>504825</xdr:colOff>
                <xdr:row>12</xdr:row>
                <xdr:rowOff>190500</xdr:rowOff>
              </to>
            </anchor>
          </controlPr>
        </control>
      </mc:Choice>
      <mc:Fallback>
        <control shapeId="1027" r:id="rId8" name="Btn승차권발매취소"/>
      </mc:Fallback>
    </mc:AlternateContent>
    <mc:AlternateContent xmlns:mc="http://schemas.openxmlformats.org/markup-compatibility/2006">
      <mc:Choice Requires="x14">
        <control shapeId="1026" r:id="rId10" name="Btn승차권예매">
          <controlPr defaultSize="0" autoLine="0" r:id="rId11">
            <anchor moveWithCells="1">
              <from>
                <xdr:col>3</xdr:col>
                <xdr:colOff>266700</xdr:colOff>
                <xdr:row>8</xdr:row>
                <xdr:rowOff>47625</xdr:rowOff>
              </from>
              <to>
                <xdr:col>6</xdr:col>
                <xdr:colOff>504825</xdr:colOff>
                <xdr:row>10</xdr:row>
                <xdr:rowOff>28575</xdr:rowOff>
              </to>
            </anchor>
          </controlPr>
        </control>
      </mc:Choice>
      <mc:Fallback>
        <control shapeId="1026" r:id="rId10" name="Btn승차권예매"/>
      </mc:Fallback>
    </mc:AlternateContent>
    <mc:AlternateContent xmlns:mc="http://schemas.openxmlformats.org/markup-compatibility/2006">
      <mc:Choice Requires="x14">
        <control shapeId="1025" r:id="rId12" name="Btn로그인">
          <controlPr defaultSize="0" autoLine="0" r:id="rId13">
            <anchor moveWithCells="1">
              <from>
                <xdr:col>3</xdr:col>
                <xdr:colOff>266700</xdr:colOff>
                <xdr:row>5</xdr:row>
                <xdr:rowOff>142875</xdr:rowOff>
              </from>
              <to>
                <xdr:col>6</xdr:col>
                <xdr:colOff>504825</xdr:colOff>
                <xdr:row>7</xdr:row>
                <xdr:rowOff>123825</xdr:rowOff>
              </to>
            </anchor>
          </controlPr>
        </control>
      </mc:Choice>
      <mc:Fallback>
        <control shapeId="1025" r:id="rId12" name="Btn로그인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F3F605-3B64-41ED-82A9-F5DFC9E750D6}">
  <sheetPr codeName="Sheet2"/>
  <dimension ref="A1:T25"/>
  <sheetViews>
    <sheetView workbookViewId="0">
      <selection activeCell="F21" sqref="F21"/>
    </sheetView>
  </sheetViews>
  <sheetFormatPr defaultRowHeight="16.5" x14ac:dyDescent="0.3"/>
  <cols>
    <col min="1" max="1" width="7.125" style="2" bestFit="1" customWidth="1"/>
    <col min="2" max="2" width="9" style="2"/>
    <col min="3" max="3" width="7.125" style="2" bestFit="1" customWidth="1"/>
    <col min="4" max="4" width="14.125" style="2" bestFit="1" customWidth="1"/>
    <col min="5" max="5" width="14.375" style="2" bestFit="1" customWidth="1"/>
    <col min="7" max="7" width="9" style="10"/>
    <col min="8" max="16384" width="9" style="15"/>
  </cols>
  <sheetData>
    <row r="1" spans="1:20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H1" s="14">
        <v>14</v>
      </c>
    </row>
    <row r="2" spans="1:20" x14ac:dyDescent="0.3">
      <c r="A2" s="2" t="s">
        <v>5</v>
      </c>
      <c r="B2" s="2">
        <v>1234</v>
      </c>
      <c r="C2" s="2" t="s">
        <v>6</v>
      </c>
      <c r="D2" s="2" t="s">
        <v>7</v>
      </c>
      <c r="E2" s="2" t="s">
        <v>8</v>
      </c>
      <c r="H2" s="14">
        <v>4</v>
      </c>
    </row>
    <row r="3" spans="1:20" x14ac:dyDescent="0.3">
      <c r="A3" s="2" t="s">
        <v>9</v>
      </c>
      <c r="B3" s="2">
        <v>1234</v>
      </c>
      <c r="C3" s="2" t="s">
        <v>10</v>
      </c>
      <c r="D3" s="2" t="s">
        <v>11</v>
      </c>
      <c r="E3" s="2" t="s">
        <v>12</v>
      </c>
      <c r="H3" s="14"/>
    </row>
    <row r="4" spans="1:20" x14ac:dyDescent="0.3">
      <c r="A4" s="2" t="s">
        <v>13</v>
      </c>
      <c r="B4" s="2">
        <v>1234</v>
      </c>
      <c r="C4" s="2" t="s">
        <v>14</v>
      </c>
      <c r="D4" s="2" t="s">
        <v>15</v>
      </c>
      <c r="E4" s="2" t="s">
        <v>16</v>
      </c>
    </row>
    <row r="5" spans="1:20" x14ac:dyDescent="0.3">
      <c r="A5" s="2" t="s">
        <v>17</v>
      </c>
      <c r="B5" s="2">
        <v>1234</v>
      </c>
      <c r="C5" s="2" t="s">
        <v>18</v>
      </c>
      <c r="D5" s="2" t="s">
        <v>19</v>
      </c>
      <c r="E5" s="2" t="s">
        <v>20</v>
      </c>
    </row>
    <row r="6" spans="1:20" x14ac:dyDescent="0.3">
      <c r="A6" s="2" t="s">
        <v>21</v>
      </c>
      <c r="B6" s="2">
        <v>1234</v>
      </c>
      <c r="C6" s="2" t="s">
        <v>22</v>
      </c>
      <c r="D6" s="2" t="s">
        <v>23</v>
      </c>
      <c r="E6" s="2" t="s">
        <v>24</v>
      </c>
      <c r="H6" s="16"/>
      <c r="L6" s="11"/>
      <c r="M6" s="11" t="s">
        <v>163</v>
      </c>
      <c r="N6" s="11" t="s">
        <v>164</v>
      </c>
      <c r="O6" s="11" t="s">
        <v>165</v>
      </c>
      <c r="P6" s="11" t="s">
        <v>167</v>
      </c>
      <c r="Q6" s="11" t="s">
        <v>166</v>
      </c>
      <c r="R6" s="11" t="s">
        <v>168</v>
      </c>
      <c r="S6" s="11" t="s">
        <v>169</v>
      </c>
      <c r="T6" s="11" t="s">
        <v>170</v>
      </c>
    </row>
    <row r="7" spans="1:20" x14ac:dyDescent="0.3">
      <c r="A7" s="2" t="s">
        <v>25</v>
      </c>
      <c r="B7" s="2">
        <v>1234</v>
      </c>
      <c r="C7" s="2" t="s">
        <v>26</v>
      </c>
      <c r="D7" s="2" t="s">
        <v>27</v>
      </c>
      <c r="E7" s="2" t="s">
        <v>28</v>
      </c>
      <c r="L7" s="11" t="s">
        <v>171</v>
      </c>
      <c r="M7" s="11" t="s">
        <v>172</v>
      </c>
      <c r="N7" s="11">
        <v>40</v>
      </c>
      <c r="O7" s="11">
        <v>40</v>
      </c>
      <c r="P7" s="11">
        <v>170</v>
      </c>
      <c r="Q7" s="11">
        <v>290</v>
      </c>
      <c r="R7" s="11">
        <v>370</v>
      </c>
      <c r="S7" s="11">
        <v>380</v>
      </c>
      <c r="T7" s="11">
        <v>400</v>
      </c>
    </row>
    <row r="8" spans="1:20" x14ac:dyDescent="0.3">
      <c r="A8" s="2" t="s">
        <v>29</v>
      </c>
      <c r="B8" s="2">
        <v>1234</v>
      </c>
      <c r="C8" s="2" t="s">
        <v>30</v>
      </c>
      <c r="D8" s="2" t="s">
        <v>31</v>
      </c>
      <c r="E8" s="2" t="s">
        <v>32</v>
      </c>
      <c r="L8" s="11" t="s">
        <v>164</v>
      </c>
      <c r="M8" s="11">
        <v>40</v>
      </c>
      <c r="N8" s="11" t="s">
        <v>172</v>
      </c>
      <c r="O8" s="11">
        <v>50</v>
      </c>
      <c r="P8" s="11">
        <v>130</v>
      </c>
      <c r="Q8" s="11">
        <v>260</v>
      </c>
      <c r="R8" s="11">
        <v>340</v>
      </c>
      <c r="S8" s="11">
        <v>350</v>
      </c>
      <c r="T8" s="11">
        <v>370</v>
      </c>
    </row>
    <row r="9" spans="1:20" x14ac:dyDescent="0.3">
      <c r="A9" s="2" t="s">
        <v>33</v>
      </c>
      <c r="B9" s="2">
        <v>1234</v>
      </c>
      <c r="C9" s="2" t="s">
        <v>34</v>
      </c>
      <c r="D9" s="2" t="s">
        <v>35</v>
      </c>
      <c r="E9" s="2" t="s">
        <v>36</v>
      </c>
      <c r="L9" s="11" t="s">
        <v>165</v>
      </c>
      <c r="M9" s="11">
        <v>40</v>
      </c>
      <c r="N9" s="11">
        <v>50</v>
      </c>
      <c r="O9" s="11" t="s">
        <v>172</v>
      </c>
      <c r="P9" s="11">
        <v>120</v>
      </c>
      <c r="Q9" s="11">
        <v>310</v>
      </c>
      <c r="R9" s="11">
        <v>360</v>
      </c>
      <c r="S9" s="11">
        <v>400</v>
      </c>
      <c r="T9" s="11">
        <v>420</v>
      </c>
    </row>
    <row r="10" spans="1:20" x14ac:dyDescent="0.3">
      <c r="A10" s="2" t="s">
        <v>37</v>
      </c>
      <c r="B10" s="2">
        <v>1234</v>
      </c>
      <c r="C10" s="2" t="s">
        <v>38</v>
      </c>
      <c r="D10" s="2" t="s">
        <v>39</v>
      </c>
      <c r="E10" s="2" t="s">
        <v>40</v>
      </c>
      <c r="L10" s="11" t="s">
        <v>167</v>
      </c>
      <c r="M10" s="11">
        <v>170</v>
      </c>
      <c r="N10" s="11">
        <v>130</v>
      </c>
      <c r="O10" s="11">
        <v>120</v>
      </c>
      <c r="P10" s="11" t="s">
        <v>172</v>
      </c>
      <c r="Q10" s="11">
        <v>150</v>
      </c>
      <c r="R10" s="11">
        <v>250</v>
      </c>
      <c r="S10" s="11">
        <v>240</v>
      </c>
      <c r="T10" s="11">
        <v>260</v>
      </c>
    </row>
    <row r="11" spans="1:20" x14ac:dyDescent="0.3">
      <c r="A11" s="2" t="s">
        <v>41</v>
      </c>
      <c r="B11" s="2">
        <v>1234</v>
      </c>
      <c r="C11" s="2" t="s">
        <v>42</v>
      </c>
      <c r="D11" s="2" t="s">
        <v>43</v>
      </c>
      <c r="E11" s="2" t="s">
        <v>44</v>
      </c>
      <c r="L11" s="11" t="s">
        <v>166</v>
      </c>
      <c r="M11" s="11">
        <v>290</v>
      </c>
      <c r="N11" s="11">
        <v>260</v>
      </c>
      <c r="O11" s="11">
        <v>310</v>
      </c>
      <c r="P11" s="11">
        <v>150</v>
      </c>
      <c r="Q11" s="11" t="s">
        <v>172</v>
      </c>
      <c r="R11" s="11">
        <v>280</v>
      </c>
      <c r="S11" s="11">
        <v>100</v>
      </c>
      <c r="T11" s="11">
        <v>110</v>
      </c>
    </row>
    <row r="12" spans="1:20" x14ac:dyDescent="0.3">
      <c r="A12" s="2" t="s">
        <v>45</v>
      </c>
      <c r="B12" s="2">
        <v>1234</v>
      </c>
      <c r="C12" s="2" t="s">
        <v>46</v>
      </c>
      <c r="D12" s="2" t="s">
        <v>47</v>
      </c>
      <c r="E12" s="2" t="s">
        <v>48</v>
      </c>
      <c r="L12" s="11" t="s">
        <v>168</v>
      </c>
      <c r="M12" s="11">
        <v>370</v>
      </c>
      <c r="N12" s="11">
        <v>340</v>
      </c>
      <c r="O12" s="11">
        <v>360</v>
      </c>
      <c r="P12" s="11">
        <v>250</v>
      </c>
      <c r="Q12" s="11">
        <v>280</v>
      </c>
      <c r="R12" s="11" t="s">
        <v>172</v>
      </c>
      <c r="S12" s="11">
        <v>350</v>
      </c>
      <c r="T12" s="11">
        <v>300</v>
      </c>
    </row>
    <row r="13" spans="1:20" x14ac:dyDescent="0.3">
      <c r="A13" s="2" t="s">
        <v>49</v>
      </c>
      <c r="B13" s="2">
        <v>1234</v>
      </c>
      <c r="C13" s="2" t="s">
        <v>50</v>
      </c>
      <c r="D13" s="2" t="s">
        <v>51</v>
      </c>
      <c r="E13" s="2" t="s">
        <v>52</v>
      </c>
      <c r="L13" s="11" t="s">
        <v>169</v>
      </c>
      <c r="M13" s="11">
        <v>380</v>
      </c>
      <c r="N13" s="11">
        <v>350</v>
      </c>
      <c r="O13" s="11">
        <v>400</v>
      </c>
      <c r="P13" s="11">
        <v>240</v>
      </c>
      <c r="Q13" s="11">
        <v>100</v>
      </c>
      <c r="R13" s="11">
        <v>350</v>
      </c>
      <c r="S13" s="11" t="s">
        <v>172</v>
      </c>
      <c r="T13" s="11">
        <v>60</v>
      </c>
    </row>
    <row r="14" spans="1:20" x14ac:dyDescent="0.3">
      <c r="A14" s="2" t="s">
        <v>53</v>
      </c>
      <c r="B14" s="2">
        <v>1234</v>
      </c>
      <c r="C14" s="2" t="s">
        <v>54</v>
      </c>
      <c r="D14" s="2" t="s">
        <v>55</v>
      </c>
      <c r="E14" s="2" t="s">
        <v>56</v>
      </c>
      <c r="L14" s="11" t="s">
        <v>170</v>
      </c>
      <c r="M14" s="11">
        <v>400</v>
      </c>
      <c r="N14" s="11">
        <v>370</v>
      </c>
      <c r="O14" s="11">
        <v>420</v>
      </c>
      <c r="P14" s="11">
        <v>260</v>
      </c>
      <c r="Q14" s="11">
        <v>110</v>
      </c>
      <c r="R14" s="11">
        <v>300</v>
      </c>
      <c r="S14" s="11">
        <v>60</v>
      </c>
      <c r="T14" s="11" t="s">
        <v>172</v>
      </c>
    </row>
    <row r="15" spans="1:20" x14ac:dyDescent="0.3">
      <c r="A15" s="2" t="s">
        <v>57</v>
      </c>
      <c r="B15" s="2">
        <v>1234</v>
      </c>
      <c r="C15" s="2" t="s">
        <v>58</v>
      </c>
      <c r="D15" s="2" t="s">
        <v>59</v>
      </c>
      <c r="E15" s="2" t="s">
        <v>60</v>
      </c>
      <c r="L15" s="17"/>
      <c r="M15" s="17"/>
      <c r="N15" s="17"/>
      <c r="O15" s="17"/>
      <c r="P15" s="17"/>
      <c r="Q15" s="17"/>
      <c r="R15" s="17"/>
      <c r="S15" s="17"/>
      <c r="T15" s="17"/>
    </row>
    <row r="16" spans="1:20" x14ac:dyDescent="0.3">
      <c r="A16" s="2" t="s">
        <v>61</v>
      </c>
      <c r="B16" s="2">
        <v>1234</v>
      </c>
      <c r="C16" s="2" t="s">
        <v>62</v>
      </c>
      <c r="D16" s="2" t="s">
        <v>63</v>
      </c>
      <c r="E16" s="2" t="s">
        <v>64</v>
      </c>
    </row>
    <row r="17" spans="1:5" x14ac:dyDescent="0.3">
      <c r="A17" s="2" t="s">
        <v>65</v>
      </c>
      <c r="B17" s="2">
        <v>1234</v>
      </c>
      <c r="C17" s="2" t="s">
        <v>66</v>
      </c>
      <c r="D17" s="2" t="s">
        <v>67</v>
      </c>
      <c r="E17" s="2" t="s">
        <v>68</v>
      </c>
    </row>
    <row r="18" spans="1:5" x14ac:dyDescent="0.3">
      <c r="A18" s="2" t="s">
        <v>69</v>
      </c>
      <c r="B18" s="2">
        <v>1234</v>
      </c>
      <c r="C18" s="2" t="s">
        <v>70</v>
      </c>
      <c r="D18" s="2" t="s">
        <v>71</v>
      </c>
      <c r="E18" s="2" t="s">
        <v>72</v>
      </c>
    </row>
    <row r="19" spans="1:5" x14ac:dyDescent="0.3">
      <c r="A19" s="2" t="s">
        <v>73</v>
      </c>
      <c r="B19" s="2">
        <v>1234</v>
      </c>
      <c r="C19" s="2" t="s">
        <v>74</v>
      </c>
      <c r="D19" s="2" t="s">
        <v>75</v>
      </c>
      <c r="E19" s="2" t="s">
        <v>76</v>
      </c>
    </row>
    <row r="20" spans="1:5" x14ac:dyDescent="0.3">
      <c r="A20" s="2" t="s">
        <v>77</v>
      </c>
      <c r="B20" s="2">
        <v>1234</v>
      </c>
      <c r="C20" s="2" t="s">
        <v>78</v>
      </c>
      <c r="D20" s="2" t="s">
        <v>79</v>
      </c>
      <c r="E20" s="2" t="s">
        <v>80</v>
      </c>
    </row>
    <row r="21" spans="1:5" x14ac:dyDescent="0.3">
      <c r="A21" s="2" t="s">
        <v>81</v>
      </c>
      <c r="B21" s="2">
        <v>1234</v>
      </c>
      <c r="C21" s="2" t="s">
        <v>82</v>
      </c>
      <c r="D21" s="2" t="s">
        <v>83</v>
      </c>
      <c r="E21" s="2" t="s">
        <v>84</v>
      </c>
    </row>
    <row r="22" spans="1:5" x14ac:dyDescent="0.3">
      <c r="A22" s="2" t="s">
        <v>85</v>
      </c>
      <c r="B22" s="2">
        <v>1234</v>
      </c>
      <c r="C22" s="2" t="s">
        <v>86</v>
      </c>
      <c r="D22" s="2" t="s">
        <v>87</v>
      </c>
      <c r="E22" s="2" t="s">
        <v>88</v>
      </c>
    </row>
    <row r="23" spans="1:5" x14ac:dyDescent="0.3">
      <c r="A23" s="2" t="s">
        <v>89</v>
      </c>
      <c r="B23" s="2">
        <v>1234</v>
      </c>
      <c r="C23" s="2" t="s">
        <v>90</v>
      </c>
      <c r="D23" s="2" t="s">
        <v>91</v>
      </c>
      <c r="E23" s="2" t="s">
        <v>92</v>
      </c>
    </row>
    <row r="24" spans="1:5" x14ac:dyDescent="0.3">
      <c r="A24" s="2" t="s">
        <v>93</v>
      </c>
      <c r="B24" s="2">
        <v>1234</v>
      </c>
      <c r="C24" s="2" t="s">
        <v>94</v>
      </c>
      <c r="D24" s="2" t="s">
        <v>95</v>
      </c>
      <c r="E24" s="2" t="s">
        <v>96</v>
      </c>
    </row>
    <row r="25" spans="1:5" x14ac:dyDescent="0.3">
      <c r="A25" s="2" t="s">
        <v>97</v>
      </c>
      <c r="B25" s="2">
        <v>1234</v>
      </c>
      <c r="C25" s="2" t="s">
        <v>98</v>
      </c>
      <c r="D25" s="2" t="s">
        <v>99</v>
      </c>
      <c r="E25" s="2" t="s">
        <v>100</v>
      </c>
    </row>
  </sheetData>
  <phoneticPr fontId="1" type="noConversion"/>
  <conditionalFormatting sqref="H6 A1:E1048576">
    <cfRule type="expression" dxfId="2" priority="1">
      <formula>A1&lt;&gt;""</formula>
    </cfRule>
  </conditionalFormatting>
  <dataValidations count="1">
    <dataValidation type="custom" allowBlank="1" showInputMessage="1" showErrorMessage="1" errorTitle="오류" error="주민등록번호를 다시 입력해주십시오." sqref="D2:D1048576" xr:uid="{0549DECE-FC2E-4C7D-9C1B-67169C2B8CD1}">
      <formula1>AND(LEN(D2)=14,FIND("-",D2)=7)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4D42C-EF64-45BE-B136-C64D21289CF8}">
  <sheetPr codeName="Sheet3"/>
  <dimension ref="A1:R68"/>
  <sheetViews>
    <sheetView workbookViewId="0">
      <selection activeCell="D14" sqref="D14"/>
    </sheetView>
  </sheetViews>
  <sheetFormatPr defaultRowHeight="16.5" x14ac:dyDescent="0.3"/>
  <cols>
    <col min="1" max="1" width="18.625" style="5" bestFit="1" customWidth="1"/>
    <col min="2" max="2" width="9.625" style="2" bestFit="1" customWidth="1"/>
    <col min="3" max="4" width="9" style="2"/>
    <col min="5" max="5" width="32" style="2" bestFit="1" customWidth="1"/>
    <col min="6" max="6" width="11" style="2" bestFit="1" customWidth="1"/>
    <col min="7" max="9" width="9" style="2"/>
    <col min="10" max="10" width="9" style="6"/>
    <col min="11" max="12" width="9" style="2"/>
    <col min="13" max="13" width="13.25" style="5" bestFit="1" customWidth="1"/>
  </cols>
  <sheetData>
    <row r="1" spans="1:13" ht="33" x14ac:dyDescent="0.3">
      <c r="A1" s="7" t="s">
        <v>162</v>
      </c>
      <c r="B1" s="8" t="s">
        <v>101</v>
      </c>
      <c r="C1" s="8" t="s">
        <v>102</v>
      </c>
      <c r="D1" s="8" t="s">
        <v>103</v>
      </c>
      <c r="E1" s="8" t="s">
        <v>104</v>
      </c>
      <c r="F1" s="8" t="s">
        <v>105</v>
      </c>
      <c r="G1" s="8" t="s">
        <v>106</v>
      </c>
      <c r="H1" s="8" t="s">
        <v>107</v>
      </c>
      <c r="I1" s="8" t="s">
        <v>108</v>
      </c>
      <c r="J1" s="8" t="s">
        <v>109</v>
      </c>
      <c r="K1" s="8" t="s">
        <v>110</v>
      </c>
      <c r="L1" s="8" t="s">
        <v>111</v>
      </c>
      <c r="M1" s="8" t="s">
        <v>112</v>
      </c>
    </row>
    <row r="2" spans="1:13" x14ac:dyDescent="0.3">
      <c r="A2" s="5">
        <v>44264</v>
      </c>
      <c r="B2" s="2" t="s">
        <v>113</v>
      </c>
      <c r="C2" s="2" t="s">
        <v>114</v>
      </c>
      <c r="D2" s="2" t="s">
        <v>120</v>
      </c>
      <c r="E2" s="2" t="s">
        <v>141</v>
      </c>
      <c r="F2" s="2" t="s">
        <v>142</v>
      </c>
      <c r="G2" s="2" t="s">
        <v>17</v>
      </c>
      <c r="H2" s="2" t="s">
        <v>116</v>
      </c>
      <c r="I2" s="2" t="s">
        <v>121</v>
      </c>
      <c r="J2" s="6">
        <v>0</v>
      </c>
      <c r="K2" s="2">
        <v>170</v>
      </c>
      <c r="L2" s="2">
        <v>44100</v>
      </c>
      <c r="M2" s="5">
        <v>44263</v>
      </c>
    </row>
    <row r="3" spans="1:13" x14ac:dyDescent="0.3">
      <c r="A3" s="5">
        <v>44265</v>
      </c>
      <c r="B3" s="2" t="s">
        <v>113</v>
      </c>
      <c r="C3" s="2" t="s">
        <v>122</v>
      </c>
      <c r="D3" s="2" t="s">
        <v>120</v>
      </c>
      <c r="E3" s="2" t="s">
        <v>129</v>
      </c>
      <c r="F3" s="2" t="s">
        <v>130</v>
      </c>
      <c r="G3" s="2" t="s">
        <v>45</v>
      </c>
      <c r="H3" s="2" t="s">
        <v>121</v>
      </c>
      <c r="I3" s="2" t="s">
        <v>127</v>
      </c>
      <c r="J3" s="6">
        <v>0.16666666699999999</v>
      </c>
      <c r="K3" s="2">
        <v>240</v>
      </c>
      <c r="L3" s="2">
        <v>102600</v>
      </c>
      <c r="M3" s="5">
        <v>44264</v>
      </c>
    </row>
    <row r="4" spans="1:13" x14ac:dyDescent="0.3">
      <c r="A4" s="5">
        <v>44266</v>
      </c>
      <c r="B4" s="2" t="s">
        <v>113</v>
      </c>
      <c r="C4" s="2" t="s">
        <v>122</v>
      </c>
      <c r="D4" s="2" t="s">
        <v>120</v>
      </c>
      <c r="E4" s="2" t="s">
        <v>129</v>
      </c>
      <c r="F4" s="2" t="s">
        <v>130</v>
      </c>
      <c r="G4" s="2" t="s">
        <v>9</v>
      </c>
      <c r="H4" s="2" t="s">
        <v>127</v>
      </c>
      <c r="I4" s="2" t="s">
        <v>132</v>
      </c>
      <c r="J4" s="6">
        <v>0.33333333300000001</v>
      </c>
      <c r="K4" s="2">
        <v>400</v>
      </c>
      <c r="L4" s="2">
        <v>135000</v>
      </c>
      <c r="M4" s="5">
        <v>44265</v>
      </c>
    </row>
    <row r="5" spans="1:13" x14ac:dyDescent="0.3">
      <c r="A5" s="5">
        <v>44268</v>
      </c>
      <c r="B5" s="2" t="s">
        <v>113</v>
      </c>
      <c r="C5" s="2" t="s">
        <v>114</v>
      </c>
      <c r="D5" s="2" t="s">
        <v>120</v>
      </c>
      <c r="E5" s="2" t="s">
        <v>134</v>
      </c>
      <c r="F5" s="2" t="s">
        <v>135</v>
      </c>
      <c r="G5" s="2" t="s">
        <v>33</v>
      </c>
      <c r="H5" s="2" t="s">
        <v>124</v>
      </c>
      <c r="I5" s="2" t="s">
        <v>127</v>
      </c>
      <c r="J5" s="6">
        <v>0.5</v>
      </c>
      <c r="K5" s="2">
        <v>100</v>
      </c>
      <c r="L5" s="2">
        <v>29250</v>
      </c>
      <c r="M5" s="5">
        <v>44267</v>
      </c>
    </row>
    <row r="6" spans="1:13" x14ac:dyDescent="0.3">
      <c r="A6" s="5">
        <v>44269</v>
      </c>
      <c r="B6" s="2" t="s">
        <v>113</v>
      </c>
      <c r="C6" s="2" t="s">
        <v>122</v>
      </c>
      <c r="D6" s="2" t="s">
        <v>120</v>
      </c>
      <c r="E6" s="2" t="s">
        <v>144</v>
      </c>
      <c r="F6" s="2" t="s">
        <v>145</v>
      </c>
      <c r="G6" s="2" t="s">
        <v>21</v>
      </c>
      <c r="H6" s="2" t="s">
        <v>116</v>
      </c>
      <c r="I6" s="2" t="s">
        <v>132</v>
      </c>
      <c r="J6" s="6">
        <v>0.66666666699999999</v>
      </c>
      <c r="K6" s="2">
        <v>40</v>
      </c>
      <c r="L6" s="2">
        <v>63900</v>
      </c>
      <c r="M6" s="5">
        <v>44268</v>
      </c>
    </row>
    <row r="7" spans="1:13" x14ac:dyDescent="0.3">
      <c r="A7" s="5">
        <v>44270</v>
      </c>
      <c r="B7" s="2" t="s">
        <v>118</v>
      </c>
      <c r="C7" s="2" t="s">
        <v>114</v>
      </c>
      <c r="D7" s="2" t="s">
        <v>115</v>
      </c>
      <c r="E7" s="2" t="s">
        <v>136</v>
      </c>
      <c r="F7" s="2" t="s">
        <v>133</v>
      </c>
      <c r="G7" s="2" t="s">
        <v>5</v>
      </c>
      <c r="H7" s="2" t="s">
        <v>116</v>
      </c>
      <c r="I7" s="2" t="s">
        <v>131</v>
      </c>
      <c r="J7" s="6">
        <v>0.83333333300000001</v>
      </c>
      <c r="K7" s="2">
        <v>40</v>
      </c>
      <c r="L7" s="2">
        <v>9900</v>
      </c>
      <c r="M7" s="5">
        <v>44269</v>
      </c>
    </row>
    <row r="8" spans="1:13" x14ac:dyDescent="0.3">
      <c r="A8" s="5">
        <v>44272</v>
      </c>
      <c r="B8" s="2" t="s">
        <v>113</v>
      </c>
      <c r="C8" s="2" t="s">
        <v>114</v>
      </c>
      <c r="D8" s="2" t="s">
        <v>120</v>
      </c>
      <c r="E8" s="2" t="s">
        <v>134</v>
      </c>
      <c r="F8" s="2" t="s">
        <v>135</v>
      </c>
      <c r="G8" s="2" t="s">
        <v>119</v>
      </c>
      <c r="H8" s="2" t="s">
        <v>127</v>
      </c>
      <c r="I8" s="2" t="s">
        <v>124</v>
      </c>
      <c r="J8" s="6">
        <v>4.1666666999999998E-2</v>
      </c>
      <c r="K8" s="2">
        <v>100</v>
      </c>
      <c r="L8" s="2">
        <v>32500</v>
      </c>
      <c r="M8" s="5">
        <v>44271</v>
      </c>
    </row>
    <row r="9" spans="1:13" x14ac:dyDescent="0.3">
      <c r="A9" s="5">
        <v>44273</v>
      </c>
      <c r="B9" s="2" t="s">
        <v>126</v>
      </c>
      <c r="C9" s="2" t="s">
        <v>114</v>
      </c>
      <c r="D9" s="2" t="s">
        <v>120</v>
      </c>
      <c r="E9" s="2" t="s">
        <v>148</v>
      </c>
      <c r="F9" s="2" t="s">
        <v>137</v>
      </c>
      <c r="G9" s="2" t="s">
        <v>119</v>
      </c>
      <c r="H9" s="2" t="s">
        <v>132</v>
      </c>
      <c r="I9" s="2" t="s">
        <v>121</v>
      </c>
      <c r="J9" s="6">
        <v>0.20833333300000001</v>
      </c>
      <c r="K9" s="2">
        <v>120</v>
      </c>
      <c r="L9" s="2">
        <v>55000</v>
      </c>
      <c r="M9" s="5">
        <v>44272</v>
      </c>
    </row>
    <row r="10" spans="1:13" x14ac:dyDescent="0.3">
      <c r="A10" s="5">
        <v>44275</v>
      </c>
      <c r="B10" s="2" t="s">
        <v>118</v>
      </c>
      <c r="C10" s="2" t="s">
        <v>122</v>
      </c>
      <c r="D10" s="2" t="s">
        <v>120</v>
      </c>
      <c r="E10" s="2" t="s">
        <v>143</v>
      </c>
      <c r="F10" s="2" t="s">
        <v>123</v>
      </c>
      <c r="G10" s="2" t="s">
        <v>29</v>
      </c>
      <c r="H10" s="2" t="s">
        <v>124</v>
      </c>
      <c r="I10" s="2" t="s">
        <v>131</v>
      </c>
      <c r="J10" s="6">
        <v>0.375</v>
      </c>
      <c r="K10" s="2">
        <v>260</v>
      </c>
      <c r="L10" s="2">
        <v>39150</v>
      </c>
      <c r="M10" s="5">
        <v>44274</v>
      </c>
    </row>
    <row r="11" spans="1:13" x14ac:dyDescent="0.3">
      <c r="A11" s="5">
        <v>44276</v>
      </c>
      <c r="B11" s="2" t="s">
        <v>113</v>
      </c>
      <c r="C11" s="2" t="s">
        <v>114</v>
      </c>
      <c r="D11" s="2" t="s">
        <v>120</v>
      </c>
      <c r="E11" s="2" t="s">
        <v>150</v>
      </c>
      <c r="F11" s="2" t="s">
        <v>142</v>
      </c>
      <c r="G11" s="2" t="s">
        <v>119</v>
      </c>
      <c r="H11" s="2" t="s">
        <v>131</v>
      </c>
      <c r="I11" s="2" t="s">
        <v>128</v>
      </c>
      <c r="J11" s="6">
        <v>0.54166666699999999</v>
      </c>
      <c r="K11" s="2">
        <v>340</v>
      </c>
      <c r="L11" s="2">
        <v>83000</v>
      </c>
      <c r="M11" s="5">
        <v>44275</v>
      </c>
    </row>
    <row r="12" spans="1:13" x14ac:dyDescent="0.3">
      <c r="A12" s="5">
        <v>44277</v>
      </c>
      <c r="B12" s="2" t="s">
        <v>126</v>
      </c>
      <c r="C12" s="2" t="s">
        <v>114</v>
      </c>
      <c r="D12" s="2" t="s">
        <v>120</v>
      </c>
      <c r="E12" s="2" t="s">
        <v>152</v>
      </c>
      <c r="F12" s="2" t="s">
        <v>145</v>
      </c>
      <c r="G12" s="2" t="s">
        <v>25</v>
      </c>
      <c r="H12" s="2" t="s">
        <v>127</v>
      </c>
      <c r="I12" s="2" t="s">
        <v>132</v>
      </c>
      <c r="J12" s="6">
        <v>0.70833333300000001</v>
      </c>
      <c r="K12" s="2">
        <v>400</v>
      </c>
      <c r="L12" s="2">
        <v>109800</v>
      </c>
      <c r="M12" s="5">
        <v>44276</v>
      </c>
    </row>
    <row r="13" spans="1:13" x14ac:dyDescent="0.3">
      <c r="A13" s="5">
        <v>44279</v>
      </c>
      <c r="B13" s="2" t="s">
        <v>113</v>
      </c>
      <c r="C13" s="2" t="s">
        <v>114</v>
      </c>
      <c r="D13" s="2" t="s">
        <v>115</v>
      </c>
      <c r="E13" s="2" t="s">
        <v>153</v>
      </c>
      <c r="F13" s="2" t="s">
        <v>138</v>
      </c>
      <c r="G13" s="2" t="s">
        <v>119</v>
      </c>
      <c r="H13" s="2" t="s">
        <v>127</v>
      </c>
      <c r="I13" s="2" t="s">
        <v>117</v>
      </c>
      <c r="J13" s="6">
        <v>0.875</v>
      </c>
      <c r="K13" s="2">
        <v>60</v>
      </c>
      <c r="L13" s="2">
        <v>9500</v>
      </c>
      <c r="M13" s="5">
        <v>44278</v>
      </c>
    </row>
    <row r="14" spans="1:13" x14ac:dyDescent="0.3">
      <c r="A14" s="5">
        <v>44280</v>
      </c>
      <c r="B14" s="2" t="s">
        <v>126</v>
      </c>
      <c r="C14" s="2" t="s">
        <v>114</v>
      </c>
      <c r="D14" s="2" t="s">
        <v>115</v>
      </c>
      <c r="E14" s="2" t="s">
        <v>154</v>
      </c>
      <c r="F14" s="2" t="s">
        <v>123</v>
      </c>
      <c r="G14" s="2" t="s">
        <v>119</v>
      </c>
      <c r="H14" s="2" t="s">
        <v>127</v>
      </c>
      <c r="I14" s="2" t="s">
        <v>116</v>
      </c>
      <c r="J14" s="6">
        <v>4.1666666999999998E-2</v>
      </c>
      <c r="K14" s="2">
        <v>380</v>
      </c>
      <c r="L14" s="2">
        <v>39500</v>
      </c>
      <c r="M14" s="5">
        <v>44279</v>
      </c>
    </row>
    <row r="15" spans="1:13" x14ac:dyDescent="0.3">
      <c r="A15" s="5">
        <v>44281</v>
      </c>
      <c r="B15" s="2" t="s">
        <v>126</v>
      </c>
      <c r="C15" s="2" t="s">
        <v>122</v>
      </c>
      <c r="D15" s="2" t="s">
        <v>120</v>
      </c>
      <c r="E15" s="2" t="s">
        <v>151</v>
      </c>
      <c r="F15" s="2" t="s">
        <v>138</v>
      </c>
      <c r="G15" s="2" t="s">
        <v>85</v>
      </c>
      <c r="H15" s="2" t="s">
        <v>116</v>
      </c>
      <c r="I15" s="2" t="s">
        <v>132</v>
      </c>
      <c r="J15" s="6">
        <v>0.20833333300000001</v>
      </c>
      <c r="K15" s="2">
        <v>40</v>
      </c>
      <c r="L15" s="2">
        <v>17550</v>
      </c>
      <c r="M15" s="5">
        <v>44280</v>
      </c>
    </row>
    <row r="16" spans="1:13" x14ac:dyDescent="0.3">
      <c r="A16" s="5">
        <v>44283</v>
      </c>
      <c r="B16" s="2" t="s">
        <v>113</v>
      </c>
      <c r="C16" s="2" t="s">
        <v>114</v>
      </c>
      <c r="D16" s="2" t="s">
        <v>120</v>
      </c>
      <c r="E16" s="2" t="s">
        <v>156</v>
      </c>
      <c r="F16" s="2" t="s">
        <v>142</v>
      </c>
      <c r="G16" s="2" t="s">
        <v>49</v>
      </c>
      <c r="H16" s="2" t="s">
        <v>117</v>
      </c>
      <c r="I16" s="2" t="s">
        <v>116</v>
      </c>
      <c r="J16" s="6">
        <v>0.375</v>
      </c>
      <c r="K16" s="2">
        <v>400</v>
      </c>
      <c r="L16" s="2">
        <v>85500</v>
      </c>
      <c r="M16" s="5">
        <v>44282</v>
      </c>
    </row>
    <row r="17" spans="1:13" x14ac:dyDescent="0.3">
      <c r="A17" s="5">
        <v>44284</v>
      </c>
      <c r="B17" s="2" t="s">
        <v>126</v>
      </c>
      <c r="C17" s="2" t="s">
        <v>122</v>
      </c>
      <c r="D17" s="2" t="s">
        <v>120</v>
      </c>
      <c r="E17" s="2" t="s">
        <v>157</v>
      </c>
      <c r="F17" s="2" t="s">
        <v>133</v>
      </c>
      <c r="G17" s="2" t="s">
        <v>119</v>
      </c>
      <c r="H17" s="2" t="s">
        <v>128</v>
      </c>
      <c r="I17" s="2" t="s">
        <v>132</v>
      </c>
      <c r="J17" s="6">
        <v>0.54166666699999999</v>
      </c>
      <c r="K17" s="2">
        <v>360</v>
      </c>
      <c r="L17" s="2">
        <v>87000</v>
      </c>
      <c r="M17" s="5">
        <v>44283</v>
      </c>
    </row>
    <row r="18" spans="1:13" x14ac:dyDescent="0.3">
      <c r="A18" s="5">
        <v>44285</v>
      </c>
      <c r="B18" s="2" t="s">
        <v>113</v>
      </c>
      <c r="C18" s="2" t="s">
        <v>122</v>
      </c>
      <c r="D18" s="2" t="s">
        <v>120</v>
      </c>
      <c r="E18" s="2" t="s">
        <v>146</v>
      </c>
      <c r="F18" s="2" t="s">
        <v>140</v>
      </c>
      <c r="G18" s="2" t="s">
        <v>81</v>
      </c>
      <c r="H18" s="2" t="s">
        <v>121</v>
      </c>
      <c r="I18" s="2" t="s">
        <v>128</v>
      </c>
      <c r="J18" s="6">
        <v>0.70833333300000001</v>
      </c>
      <c r="K18" s="2">
        <v>250</v>
      </c>
      <c r="L18" s="2">
        <v>150750</v>
      </c>
      <c r="M18" s="5">
        <v>44284</v>
      </c>
    </row>
    <row r="19" spans="1:13" x14ac:dyDescent="0.3">
      <c r="A19" s="5">
        <v>44287</v>
      </c>
      <c r="B19" s="2" t="s">
        <v>126</v>
      </c>
      <c r="C19" s="2" t="s">
        <v>114</v>
      </c>
      <c r="D19" s="2" t="s">
        <v>120</v>
      </c>
      <c r="E19" s="2" t="s">
        <v>159</v>
      </c>
      <c r="F19" s="2" t="s">
        <v>125</v>
      </c>
      <c r="G19" s="2" t="s">
        <v>119</v>
      </c>
      <c r="H19" s="2" t="s">
        <v>132</v>
      </c>
      <c r="I19" s="2" t="s">
        <v>124</v>
      </c>
      <c r="J19" s="6">
        <v>0.875</v>
      </c>
      <c r="K19" s="2">
        <v>310</v>
      </c>
      <c r="L19" s="2">
        <v>140000</v>
      </c>
      <c r="M19" s="5">
        <v>44286</v>
      </c>
    </row>
    <row r="20" spans="1:13" x14ac:dyDescent="0.3">
      <c r="A20" s="5">
        <v>44288</v>
      </c>
      <c r="B20" s="2" t="s">
        <v>118</v>
      </c>
      <c r="C20" s="2" t="s">
        <v>114</v>
      </c>
      <c r="D20" s="2" t="s">
        <v>120</v>
      </c>
      <c r="E20" s="2" t="s">
        <v>158</v>
      </c>
      <c r="F20" s="2" t="s">
        <v>123</v>
      </c>
      <c r="G20" s="2" t="s">
        <v>97</v>
      </c>
      <c r="H20" s="2" t="s">
        <v>117</v>
      </c>
      <c r="I20" s="2" t="s">
        <v>124</v>
      </c>
      <c r="J20" s="6">
        <v>4.1666666999999998E-2</v>
      </c>
      <c r="K20" s="2">
        <v>110</v>
      </c>
      <c r="L20" s="2">
        <v>14400</v>
      </c>
      <c r="M20" s="5">
        <v>44287</v>
      </c>
    </row>
    <row r="21" spans="1:13" x14ac:dyDescent="0.3">
      <c r="A21" s="5">
        <v>44289</v>
      </c>
      <c r="B21" s="2" t="s">
        <v>118</v>
      </c>
      <c r="C21" s="2" t="s">
        <v>122</v>
      </c>
      <c r="D21" s="2" t="s">
        <v>120</v>
      </c>
      <c r="E21" s="2" t="s">
        <v>149</v>
      </c>
      <c r="F21" s="2" t="s">
        <v>142</v>
      </c>
      <c r="G21" s="2" t="s">
        <v>25</v>
      </c>
      <c r="H21" s="2" t="s">
        <v>132</v>
      </c>
      <c r="I21" s="2" t="s">
        <v>116</v>
      </c>
      <c r="J21" s="6">
        <v>0.20833333300000001</v>
      </c>
      <c r="K21" s="2">
        <v>40</v>
      </c>
      <c r="L21" s="2">
        <v>38700</v>
      </c>
      <c r="M21" s="5">
        <v>44288</v>
      </c>
    </row>
    <row r="22" spans="1:13" x14ac:dyDescent="0.3">
      <c r="A22" s="5">
        <v>44291</v>
      </c>
      <c r="B22" s="2" t="s">
        <v>113</v>
      </c>
      <c r="C22" s="2" t="s">
        <v>122</v>
      </c>
      <c r="D22" s="2" t="s">
        <v>120</v>
      </c>
      <c r="E22" s="2" t="s">
        <v>160</v>
      </c>
      <c r="F22" s="2" t="s">
        <v>138</v>
      </c>
      <c r="G22" s="2" t="s">
        <v>119</v>
      </c>
      <c r="H22" s="2" t="s">
        <v>132</v>
      </c>
      <c r="I22" s="2" t="s">
        <v>121</v>
      </c>
      <c r="J22" s="6">
        <v>0.375</v>
      </c>
      <c r="K22" s="2">
        <v>120</v>
      </c>
      <c r="L22" s="2">
        <v>29000</v>
      </c>
    </row>
    <row r="23" spans="1:13" x14ac:dyDescent="0.3">
      <c r="A23" s="5">
        <v>44292</v>
      </c>
      <c r="B23" s="2" t="s">
        <v>118</v>
      </c>
      <c r="C23" s="2" t="s">
        <v>122</v>
      </c>
      <c r="D23" s="2" t="s">
        <v>120</v>
      </c>
      <c r="E23" s="2" t="s">
        <v>161</v>
      </c>
      <c r="F23" s="2" t="s">
        <v>155</v>
      </c>
      <c r="G23" s="2" t="s">
        <v>119</v>
      </c>
      <c r="H23" s="2" t="s">
        <v>124</v>
      </c>
      <c r="I23" s="2" t="s">
        <v>116</v>
      </c>
      <c r="J23" s="6">
        <v>0.54166666699999999</v>
      </c>
      <c r="K23" s="2">
        <v>290</v>
      </c>
      <c r="L23" s="2">
        <v>117750</v>
      </c>
    </row>
    <row r="24" spans="1:13" x14ac:dyDescent="0.3">
      <c r="A24" s="5">
        <v>44293</v>
      </c>
      <c r="B24" s="2" t="s">
        <v>126</v>
      </c>
      <c r="C24" s="2" t="s">
        <v>114</v>
      </c>
      <c r="D24" s="2" t="s">
        <v>120</v>
      </c>
      <c r="E24" s="2" t="s">
        <v>139</v>
      </c>
      <c r="F24" s="2" t="s">
        <v>125</v>
      </c>
      <c r="G24" s="2" t="s">
        <v>119</v>
      </c>
      <c r="H24" s="2" t="s">
        <v>116</v>
      </c>
      <c r="I24" s="2" t="s">
        <v>128</v>
      </c>
      <c r="J24" s="6">
        <v>0.70833333300000001</v>
      </c>
      <c r="K24" s="2">
        <v>370</v>
      </c>
      <c r="L24" s="2">
        <v>164000</v>
      </c>
    </row>
    <row r="25" spans="1:13" x14ac:dyDescent="0.3">
      <c r="A25" s="5">
        <v>44295</v>
      </c>
      <c r="B25" s="2" t="s">
        <v>113</v>
      </c>
      <c r="C25" s="2" t="s">
        <v>122</v>
      </c>
      <c r="D25" s="2" t="s">
        <v>120</v>
      </c>
      <c r="E25" s="2" t="s">
        <v>144</v>
      </c>
      <c r="F25" s="2" t="s">
        <v>145</v>
      </c>
      <c r="G25" s="2" t="s">
        <v>5</v>
      </c>
      <c r="H25" s="2" t="s">
        <v>131</v>
      </c>
      <c r="I25" s="2" t="s">
        <v>132</v>
      </c>
      <c r="J25" s="6">
        <v>0.875</v>
      </c>
      <c r="K25" s="2">
        <v>50</v>
      </c>
      <c r="L25" s="2">
        <v>66375</v>
      </c>
    </row>
    <row r="61" spans="18:18" x14ac:dyDescent="0.3">
      <c r="R61" s="9" t="s">
        <v>171</v>
      </c>
    </row>
    <row r="62" spans="18:18" x14ac:dyDescent="0.3">
      <c r="R62" s="11" t="s">
        <v>164</v>
      </c>
    </row>
    <row r="63" spans="18:18" x14ac:dyDescent="0.3">
      <c r="R63" s="11" t="s">
        <v>165</v>
      </c>
    </row>
    <row r="64" spans="18:18" x14ac:dyDescent="0.3">
      <c r="R64" s="11" t="s">
        <v>167</v>
      </c>
    </row>
    <row r="65" spans="18:18" x14ac:dyDescent="0.3">
      <c r="R65" s="11" t="s">
        <v>166</v>
      </c>
    </row>
    <row r="66" spans="18:18" x14ac:dyDescent="0.3">
      <c r="R66" s="11" t="s">
        <v>168</v>
      </c>
    </row>
    <row r="67" spans="18:18" x14ac:dyDescent="0.3">
      <c r="R67" s="11" t="s">
        <v>169</v>
      </c>
    </row>
    <row r="68" spans="18:18" x14ac:dyDescent="0.3">
      <c r="R68" s="11" t="s">
        <v>170</v>
      </c>
    </row>
  </sheetData>
  <phoneticPr fontId="1" type="noConversion"/>
  <conditionalFormatting sqref="A1:M1048576">
    <cfRule type="expression" dxfId="1" priority="2">
      <formula>$A1&lt;&gt;""</formula>
    </cfRule>
  </conditionalFormatting>
  <conditionalFormatting sqref="A2:M1048576">
    <cfRule type="expression" dxfId="0" priority="1">
      <formula>AND($L2&gt;=100000,LEN($E2) - LEN(SUBSTITUTE($E2,",","")) + 1 &gt;= 5)</formula>
    </cfRule>
  </conditionalFormatting>
  <pageMargins left="0.7" right="0.7" top="0.75" bottom="0.75" header="0.3" footer="0.3"/>
  <pageSetup paperSize="9" orientation="portrait" horizontalDpi="4294967292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1B7B9-98C4-4721-BEEE-40E8BF2CDAEC}">
  <sheetPr codeName="Sheet5"/>
  <dimension ref="A1"/>
  <sheetViews>
    <sheetView workbookViewId="0"/>
  </sheetViews>
  <sheetFormatPr defaultRowHeight="16.5" x14ac:dyDescent="0.3"/>
  <sheetData/>
  <phoneticPr fontId="1" type="noConversion"/>
  <pageMargins left="0.7" right="0.7" top="0.75" bottom="0.75" header="0.3" footer="0.3"/>
  <pageSetup paperSize="9" orientation="portrait" horizontalDpi="4294967292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AD44A7-4081-4C35-A9B8-D43F3922AA64}">
  <sheetPr codeName="Sheet6"/>
  <dimension ref="A1:C11"/>
  <sheetViews>
    <sheetView showGridLines="0" zoomScaleNormal="100" workbookViewId="0">
      <selection activeCell="K11" sqref="K11"/>
    </sheetView>
  </sheetViews>
  <sheetFormatPr defaultRowHeight="16.5" x14ac:dyDescent="0.3"/>
  <sheetData>
    <row r="1" spans="1:3" x14ac:dyDescent="0.3">
      <c r="A1" s="21" t="s">
        <v>173</v>
      </c>
      <c r="B1" s="21"/>
      <c r="C1" s="21"/>
    </row>
    <row r="2" spans="1:3" x14ac:dyDescent="0.3">
      <c r="A2" s="21"/>
      <c r="B2" s="21"/>
      <c r="C2" s="21"/>
    </row>
    <row r="3" spans="1:3" x14ac:dyDescent="0.3">
      <c r="A3" s="12" t="s">
        <v>174</v>
      </c>
      <c r="B3" s="21">
        <v>44271</v>
      </c>
      <c r="C3" s="21"/>
    </row>
    <row r="4" spans="1:3" x14ac:dyDescent="0.3">
      <c r="A4" s="12" t="s">
        <v>175</v>
      </c>
      <c r="B4" s="21" t="s">
        <v>131</v>
      </c>
      <c r="C4" s="21"/>
    </row>
    <row r="5" spans="1:3" x14ac:dyDescent="0.3">
      <c r="A5" s="12" t="s">
        <v>176</v>
      </c>
      <c r="B5" s="21" t="s">
        <v>116</v>
      </c>
      <c r="C5" s="21"/>
    </row>
    <row r="6" spans="1:3" x14ac:dyDescent="0.3">
      <c r="A6" s="12" t="s">
        <v>177</v>
      </c>
      <c r="B6" s="21">
        <v>0.95833333300000001</v>
      </c>
      <c r="C6" s="21"/>
    </row>
    <row r="7" spans="1:3" x14ac:dyDescent="0.3">
      <c r="A7" s="12" t="s">
        <v>178</v>
      </c>
      <c r="B7" s="21" t="s">
        <v>114</v>
      </c>
      <c r="C7" s="21"/>
    </row>
    <row r="8" spans="1:3" x14ac:dyDescent="0.3">
      <c r="A8" s="12" t="s">
        <v>179</v>
      </c>
      <c r="B8" s="21" t="s">
        <v>147</v>
      </c>
      <c r="C8" s="21"/>
    </row>
    <row r="9" spans="1:3" x14ac:dyDescent="0.3">
      <c r="A9" s="13" t="s">
        <v>180</v>
      </c>
      <c r="B9" s="22">
        <v>50000</v>
      </c>
      <c r="C9" s="22"/>
    </row>
    <row r="10" spans="1:3" x14ac:dyDescent="0.2">
      <c r="A10" s="23" t="s">
        <v>181</v>
      </c>
      <c r="B10" s="24"/>
      <c r="C10" s="25"/>
    </row>
    <row r="11" spans="1:3" x14ac:dyDescent="0.3">
      <c r="A11" s="18">
        <f ca="1">TODAY()</f>
        <v>44256</v>
      </c>
      <c r="B11" s="19"/>
      <c r="C11" s="20"/>
    </row>
  </sheetData>
  <mergeCells count="10">
    <mergeCell ref="A11:C11"/>
    <mergeCell ref="A1:C2"/>
    <mergeCell ref="B3:C3"/>
    <mergeCell ref="B4:C4"/>
    <mergeCell ref="B5:C5"/>
    <mergeCell ref="B6:C6"/>
    <mergeCell ref="B7:C7"/>
    <mergeCell ref="B8:C8"/>
    <mergeCell ref="B9:C9"/>
    <mergeCell ref="A10:C10"/>
  </mergeCells>
  <phoneticPr fontId="1" type="noConversion"/>
  <pageMargins left="0.7" right="0.7" top="0.75" bottom="0.75" header="0.3" footer="0.3"/>
  <pageSetup paperSize="9" orientation="portrait" r:id="rId1"/>
  <rowBreaks count="1" manualBreakCount="1">
    <brk id="11" max="16383" man="1"/>
  </rowBreaks>
  <colBreaks count="1" manualBreakCount="1">
    <brk id="3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5</vt:i4>
      </vt:variant>
      <vt:variant>
        <vt:lpstr>이름 지정된 범위</vt:lpstr>
      </vt:variant>
      <vt:variant>
        <vt:i4>2</vt:i4>
      </vt:variant>
    </vt:vector>
  </HeadingPairs>
  <TitlesOfParts>
    <vt:vector size="7" baseType="lpstr">
      <vt:lpstr>Main</vt:lpstr>
      <vt:lpstr>고객정보</vt:lpstr>
      <vt:lpstr>예약정보</vt:lpstr>
      <vt:lpstr>열차분석</vt:lpstr>
      <vt:lpstr>승차권발권</vt:lpstr>
      <vt:lpstr>로그인여부</vt:lpstr>
      <vt:lpstr>유저이름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cp:lastPrinted>2021-02-24T18:12:55Z</cp:lastPrinted>
  <dcterms:created xsi:type="dcterms:W3CDTF">2021-02-20T03:46:55Z</dcterms:created>
  <dcterms:modified xsi:type="dcterms:W3CDTF">2021-02-28T18:55:16Z</dcterms:modified>
</cp:coreProperties>
</file>