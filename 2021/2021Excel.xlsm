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2021\"/>
    </mc:Choice>
  </mc:AlternateContent>
  <xr:revisionPtr revIDLastSave="0" documentId="13_ncr:1_{332335D6-1D89-4501-A750-EE42E8222ACB}" xr6:coauthVersionLast="46" xr6:coauthVersionMax="46" xr10:uidLastSave="{00000000-0000-0000-0000-000000000000}"/>
  <bookViews>
    <workbookView xWindow="-120" yWindow="-120" windowWidth="29040" windowHeight="15840" activeTab="1" xr2:uid="{A5FB172A-59B1-4C5E-BF95-DDF826BD9A9D}"/>
  </bookViews>
  <sheets>
    <sheet name="Main" sheetId="1" r:id="rId1"/>
    <sheet name="팀" sheetId="2" r:id="rId2"/>
    <sheet name="종목" sheetId="3" r:id="rId3"/>
    <sheet name="참가선수" sheetId="4" r:id="rId4"/>
    <sheet name="경기현황" sheetId="6" r:id="rId5"/>
  </sheets>
  <functionGroups builtInGroupCount="19"/>
  <definedNames>
    <definedName name="동팀대표">팀!$S$2</definedName>
    <definedName name="로그인여부">Main!$B$13</definedName>
    <definedName name="서팀대표">팀!$T$2</definedName>
    <definedName name="선택행">종목!$I$1</definedName>
    <definedName name="유저번호">Main!$A$14</definedName>
    <definedName name="유저이름">Main!$A$13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2" l="1" a="1"/>
  <c r="O2" i="2" s="1"/>
  <c r="N2" i="2"/>
  <c r="M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2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44" i="2"/>
  <c r="A43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" i="2"/>
  <c r="A3" i="2"/>
  <c r="A2" i="2"/>
  <c r="H2" i="2" a="1"/>
  <c r="H3" i="2" a="1"/>
  <c r="H2" i="2" l="1"/>
  <c r="H3" i="2"/>
</calcChain>
</file>

<file path=xl/sharedStrings.xml><?xml version="1.0" encoding="utf-8"?>
<sst xmlns="http://schemas.openxmlformats.org/spreadsheetml/2006/main" count="247" uniqueCount="148">
  <si>
    <t xml:space="preserve"> </t>
    <phoneticPr fontId="1" type="noConversion"/>
  </si>
  <si>
    <t>팀번호</t>
    <phoneticPr fontId="1" type="noConversion"/>
  </si>
  <si>
    <t>팀명</t>
  </si>
  <si>
    <t>성명</t>
  </si>
  <si>
    <t>생년월일</t>
  </si>
  <si>
    <t>나이</t>
    <phoneticPr fontId="1" type="noConversion"/>
  </si>
  <si>
    <t>선수사진</t>
    <phoneticPr fontId="1" type="noConversion"/>
  </si>
  <si>
    <t>동팀</t>
  </si>
  <si>
    <t>김영빈</t>
  </si>
  <si>
    <t>김효성</t>
  </si>
  <si>
    <t>노형민</t>
  </si>
  <si>
    <t>서승우</t>
  </si>
  <si>
    <t>오진수</t>
  </si>
  <si>
    <t>유법상</t>
  </si>
  <si>
    <t>김수민</t>
  </si>
  <si>
    <t>이규미</t>
  </si>
  <si>
    <t>이기연</t>
  </si>
  <si>
    <t>이겸</t>
    <phoneticPr fontId="1" type="noConversion"/>
  </si>
  <si>
    <t>전다훈</t>
  </si>
  <si>
    <t>차우성</t>
  </si>
  <si>
    <t>한성준</t>
  </si>
  <si>
    <t>김도현</t>
  </si>
  <si>
    <t>김민우</t>
  </si>
  <si>
    <t>이상</t>
    <phoneticPr fontId="1" type="noConversion"/>
  </si>
  <si>
    <t>이상원</t>
    <phoneticPr fontId="1" type="noConversion"/>
  </si>
  <si>
    <t>김영빈</t>
    <phoneticPr fontId="1" type="noConversion"/>
  </si>
  <si>
    <t>신현수</t>
  </si>
  <si>
    <t>원영철</t>
  </si>
  <si>
    <t>이정진</t>
  </si>
  <si>
    <t>이훈</t>
  </si>
  <si>
    <t>이상_1</t>
    <phoneticPr fontId="1" type="noConversion"/>
  </si>
  <si>
    <t>하태광</t>
  </si>
  <si>
    <t>강민성</t>
  </si>
  <si>
    <t>강승훈</t>
  </si>
  <si>
    <t>권용욱</t>
  </si>
  <si>
    <t>김민유</t>
  </si>
  <si>
    <t>김상현</t>
  </si>
  <si>
    <t>김진겸</t>
  </si>
  <si>
    <t>김수민_1</t>
  </si>
  <si>
    <t>박준영</t>
  </si>
  <si>
    <t>윤성민</t>
  </si>
  <si>
    <t>윤제중</t>
  </si>
  <si>
    <t>윤제민</t>
  </si>
  <si>
    <t>남궁유경</t>
    <phoneticPr fontId="1" type="noConversion"/>
  </si>
  <si>
    <t>김진중</t>
  </si>
  <si>
    <t>이훈용</t>
  </si>
  <si>
    <t>서팀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</si>
  <si>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</si>
  <si>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</si>
  <si>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</si>
  <si>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</si>
  <si>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</si>
  <si>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</si>
  <si>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</si>
  <si>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</si>
  <si>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</si>
  <si>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</si>
  <si>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</si>
  <si>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</si>
  <si>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</si>
  <si>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</si>
  <si>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</si>
  <si>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</si>
  <si>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</si>
  <si>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</si>
  <si>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</si>
  <si>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허수한</t>
  </si>
  <si>
    <t>박신형</t>
  </si>
  <si>
    <t>박형민</t>
  </si>
  <si>
    <t>박정민</t>
  </si>
  <si>
    <t>안도현</t>
  </si>
  <si>
    <t>김진언</t>
  </si>
  <si>
    <t>이유라</t>
  </si>
  <si>
    <t>이정복</t>
  </si>
  <si>
    <t>임수홍</t>
  </si>
  <si>
    <t>장종현</t>
  </si>
  <si>
    <t>조재영</t>
  </si>
  <si>
    <t>함현지</t>
  </si>
  <si>
    <t>허수한_1</t>
  </si>
  <si>
    <t>서인준</t>
  </si>
  <si>
    <t>권윤학</t>
  </si>
  <si>
    <t>김시몬</t>
  </si>
  <si>
    <t>김유진</t>
  </si>
  <si>
    <t>김조훈</t>
  </si>
  <si>
    <t>이산</t>
    <phoneticPr fontId="1" type="noConversion"/>
  </si>
  <si>
    <t>박성훈</t>
  </si>
  <si>
    <t>석효빈</t>
  </si>
  <si>
    <t>양효빈</t>
  </si>
  <si>
    <t>허수한_2</t>
  </si>
  <si>
    <t>윤선영</t>
  </si>
  <si>
    <t>이건흠</t>
  </si>
  <si>
    <t>최혜성</t>
  </si>
  <si>
    <t>한상우</t>
  </si>
  <si>
    <t>정종민</t>
  </si>
  <si>
    <t>번호</t>
  </si>
  <si>
    <t>종목명</t>
  </si>
  <si>
    <t>소요시간(분)</t>
  </si>
  <si>
    <t>참가인원수</t>
  </si>
  <si>
    <t>승리포인트</t>
  </si>
  <si>
    <t>피구</t>
  </si>
  <si>
    <t>발야구</t>
  </si>
  <si>
    <t>농구</t>
  </si>
  <si>
    <t>계주</t>
  </si>
  <si>
    <t>줄다리기</t>
  </si>
  <si>
    <t>축구</t>
  </si>
  <si>
    <t>응원전</t>
  </si>
  <si>
    <t>전체</t>
  </si>
  <si>
    <t>팔씨름</t>
  </si>
  <si>
    <t>족구</t>
  </si>
  <si>
    <t>배구</t>
  </si>
  <si>
    <t>씨름</t>
  </si>
  <si>
    <t>탁구</t>
  </si>
  <si>
    <t>배드민턴</t>
  </si>
  <si>
    <t>핸드볼</t>
  </si>
  <si>
    <t>카드뒤집기</t>
  </si>
  <si>
    <t>제기차기</t>
  </si>
  <si>
    <t>가위바위보</t>
  </si>
  <si>
    <t>야구</t>
  </si>
  <si>
    <t>종목번호</t>
  </si>
  <si>
    <t>동팀 참가학생(번호)</t>
  </si>
  <si>
    <t>서팀 참가학생(번호)</t>
  </si>
  <si>
    <t>1,2,3,4,5,6,7,8,9,10,11,12,13,14,15,16,17,18,19,20</t>
  </si>
  <si>
    <t>15,22,26,40</t>
  </si>
  <si>
    <t>8,21,32,41</t>
  </si>
  <si>
    <t>18,21,31,34,36,39</t>
  </si>
  <si>
    <t>5,8,10,11,29,30</t>
  </si>
  <si>
    <t>11,24,29,32,37</t>
    <phoneticPr fontId="1" type="noConversion"/>
  </si>
  <si>
    <t>3,6,9,18,26</t>
    <phoneticPr fontId="1" type="noConversion"/>
  </si>
  <si>
    <t>8,26,35,38</t>
  </si>
  <si>
    <t>19,22,27,31</t>
  </si>
  <si>
    <t>31,32,33,34,35,36,37,38,39,40,41</t>
  </si>
  <si>
    <t>33,34,35,36,37,38,39,40,41,42,43</t>
  </si>
  <si>
    <t>10,14,19,23,33</t>
  </si>
  <si>
    <t>1,4,9,16,28</t>
  </si>
  <si>
    <t>1,2,4,10,11,26</t>
  </si>
  <si>
    <t>5,6,11,21,34,41</t>
  </si>
  <si>
    <t>9,30,31,38,41</t>
  </si>
  <si>
    <t>1,2,5,11,12</t>
  </si>
  <si>
    <t>5,12,21,22,29,36</t>
  </si>
  <si>
    <t>3,4,9,22,26,31</t>
  </si>
  <si>
    <t>1,2,3,4,5,6,7,8,9</t>
  </si>
  <si>
    <t>동팀번호</t>
    <phoneticPr fontId="1" type="noConversion"/>
  </si>
  <si>
    <t>서팀번호</t>
    <phoneticPr fontId="1" type="noConversion"/>
  </si>
  <si>
    <t>전체</t>
    <phoneticPr fontId="1" type="noConversion"/>
  </si>
  <si>
    <t>총인원</t>
    <phoneticPr fontId="1" type="noConversion"/>
  </si>
  <si>
    <t>동팀대표</t>
    <phoneticPr fontId="1" type="noConversion"/>
  </si>
  <si>
    <t>서팀대표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</si>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</sst>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14" fontId="3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14" fontId="2" fillId="0" borderId="0" xfId="0" applyNumberFormat="1" applyFont="1">
      <alignment vertical="center"/>
    </xf>
  </cellXfs>
  <cellStyles count="1"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16</xdr:row>
          <xdr:rowOff>57150</xdr:rowOff>
        </xdr:from>
        <xdr:to>
          <xdr:col>11</xdr:col>
          <xdr:colOff>161925</xdr:colOff>
          <xdr:row>18</xdr:row>
          <xdr:rowOff>57150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17</xdr:row>
      <xdr:rowOff>171451</xdr:rowOff>
    </xdr:from>
    <xdr:to>
      <xdr:col>10</xdr:col>
      <xdr:colOff>304800</xdr:colOff>
      <xdr:row>22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43200" y="3733801"/>
          <a:ext cx="4419600" cy="1000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4400" b="0">
              <a:solidFill>
                <a:srgbClr val="92D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정보 체육대회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35</xdr:row>
          <xdr:rowOff>47625</xdr:rowOff>
        </xdr:from>
        <xdr:to>
          <xdr:col>4</xdr:col>
          <xdr:colOff>409575</xdr:colOff>
          <xdr:row>37</xdr:row>
          <xdr:rowOff>47625</xdr:rowOff>
        </xdr:to>
        <xdr:sp macro="" textlink="">
          <xdr:nvSpPr>
            <xdr:cNvPr id="1026" name="Btn대회날짜변경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35</xdr:row>
          <xdr:rowOff>47625</xdr:rowOff>
        </xdr:from>
        <xdr:to>
          <xdr:col>6</xdr:col>
          <xdr:colOff>571500</xdr:colOff>
          <xdr:row>37</xdr:row>
          <xdr:rowOff>47625</xdr:rowOff>
        </xdr:to>
        <xdr:sp macro="" textlink="">
          <xdr:nvSpPr>
            <xdr:cNvPr id="1027" name="Btn종목목록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38100</xdr:rowOff>
        </xdr:from>
        <xdr:to>
          <xdr:col>9</xdr:col>
          <xdr:colOff>28575</xdr:colOff>
          <xdr:row>37</xdr:row>
          <xdr:rowOff>38100</xdr:rowOff>
        </xdr:to>
        <xdr:sp macro="" textlink="">
          <xdr:nvSpPr>
            <xdr:cNvPr id="1028" name="Btn스케줄등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35</xdr:row>
          <xdr:rowOff>28575</xdr:rowOff>
        </xdr:from>
        <xdr:to>
          <xdr:col>11</xdr:col>
          <xdr:colOff>152400</xdr:colOff>
          <xdr:row>37</xdr:row>
          <xdr:rowOff>28575</xdr:rowOff>
        </xdr:to>
        <xdr:sp macro="" textlink="">
          <xdr:nvSpPr>
            <xdr:cNvPr id="1029" name="Btn스케줄보기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38</xdr:row>
          <xdr:rowOff>180975</xdr:rowOff>
        </xdr:from>
        <xdr:to>
          <xdr:col>5</xdr:col>
          <xdr:colOff>428625</xdr:colOff>
          <xdr:row>40</xdr:row>
          <xdr:rowOff>180975</xdr:rowOff>
        </xdr:to>
        <xdr:sp macro="" textlink="">
          <xdr:nvSpPr>
            <xdr:cNvPr id="1030" name="Btn선수등록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38</xdr:row>
          <xdr:rowOff>180975</xdr:rowOff>
        </xdr:from>
        <xdr:to>
          <xdr:col>7</xdr:col>
          <xdr:colOff>619125</xdr:colOff>
          <xdr:row>40</xdr:row>
          <xdr:rowOff>180975</xdr:rowOff>
        </xdr:to>
        <xdr:sp macro="" textlink="">
          <xdr:nvSpPr>
            <xdr:cNvPr id="1031" name="Btn경기현황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38</xdr:row>
          <xdr:rowOff>180975</xdr:rowOff>
        </xdr:from>
        <xdr:to>
          <xdr:col>10</xdr:col>
          <xdr:colOff>38100</xdr:colOff>
          <xdr:row>40</xdr:row>
          <xdr:rowOff>180975</xdr:rowOff>
        </xdr:to>
        <xdr:sp macro="" textlink="">
          <xdr:nvSpPr>
            <xdr:cNvPr id="1032" name="Btn종료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ED6B-8C82-4536-BFC5-46369B7C4041}">
  <sheetPr codeName="Sheet1"/>
  <dimension ref="A13:J24"/>
  <sheetViews>
    <sheetView showGridLines="0" topLeftCell="A13" workbookViewId="0">
      <selection activeCell="H14" sqref="H14"/>
    </sheetView>
  </sheetViews>
  <sheetFormatPr defaultRowHeight="16.5"/>
  <sheetData>
    <row r="13" spans="1:2">
      <c r="A13" t="s">
        <v>147</v>
      </c>
      <c r="B13" t="b">
        <v>1</v>
      </c>
    </row>
    <row r="24" spans="10:10">
      <c r="J24" t="s">
        <v>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Btn종료">
          <controlPr defaultSize="0" autoLine="0" r:id="rId4">
            <anchor moveWithCells="1">
              <from>
                <xdr:col>8</xdr:col>
                <xdr:colOff>28575</xdr:colOff>
                <xdr:row>38</xdr:row>
                <xdr:rowOff>180975</xdr:rowOff>
              </from>
              <to>
                <xdr:col>10</xdr:col>
                <xdr:colOff>38100</xdr:colOff>
                <xdr:row>40</xdr:row>
                <xdr:rowOff>180975</xdr:rowOff>
              </to>
            </anchor>
          </controlPr>
        </control>
      </mc:Choice>
      <mc:Fallback>
        <control shapeId="1032" r:id="rId3" name="Btn종료"/>
      </mc:Fallback>
    </mc:AlternateContent>
    <mc:AlternateContent xmlns:mc="http://schemas.openxmlformats.org/markup-compatibility/2006">
      <mc:Choice Requires="x14">
        <control shapeId="1031" r:id="rId5" name="Btn경기현황">
          <controlPr defaultSize="0" autoLine="0" r:id="rId6">
            <anchor moveWithCells="1">
              <from>
                <xdr:col>5</xdr:col>
                <xdr:colOff>609600</xdr:colOff>
                <xdr:row>38</xdr:row>
                <xdr:rowOff>180975</xdr:rowOff>
              </from>
              <to>
                <xdr:col>7</xdr:col>
                <xdr:colOff>619125</xdr:colOff>
                <xdr:row>40</xdr:row>
                <xdr:rowOff>180975</xdr:rowOff>
              </to>
            </anchor>
          </controlPr>
        </control>
      </mc:Choice>
      <mc:Fallback>
        <control shapeId="1031" r:id="rId5" name="Btn경기현황"/>
      </mc:Fallback>
    </mc:AlternateContent>
    <mc:AlternateContent xmlns:mc="http://schemas.openxmlformats.org/markup-compatibility/2006">
      <mc:Choice Requires="x14">
        <control shapeId="1030" r:id="rId7" name="Btn선수등록">
          <controlPr defaultSize="0" autoLine="0" r:id="rId8">
            <anchor moveWithCells="1">
              <from>
                <xdr:col>3</xdr:col>
                <xdr:colOff>419100</xdr:colOff>
                <xdr:row>38</xdr:row>
                <xdr:rowOff>180975</xdr:rowOff>
              </from>
              <to>
                <xdr:col>5</xdr:col>
                <xdr:colOff>428625</xdr:colOff>
                <xdr:row>40</xdr:row>
                <xdr:rowOff>180975</xdr:rowOff>
              </to>
            </anchor>
          </controlPr>
        </control>
      </mc:Choice>
      <mc:Fallback>
        <control shapeId="1030" r:id="rId7" name="Btn선수등록"/>
      </mc:Fallback>
    </mc:AlternateContent>
    <mc:AlternateContent xmlns:mc="http://schemas.openxmlformats.org/markup-compatibility/2006">
      <mc:Choice Requires="x14">
        <control shapeId="1029" r:id="rId9" name="Btn스케줄보기">
          <controlPr defaultSize="0" autoLine="0" r:id="rId10">
            <anchor moveWithCells="1">
              <from>
                <xdr:col>9</xdr:col>
                <xdr:colOff>142875</xdr:colOff>
                <xdr:row>35</xdr:row>
                <xdr:rowOff>28575</xdr:rowOff>
              </from>
              <to>
                <xdr:col>11</xdr:col>
                <xdr:colOff>152400</xdr:colOff>
                <xdr:row>37</xdr:row>
                <xdr:rowOff>28575</xdr:rowOff>
              </to>
            </anchor>
          </controlPr>
        </control>
      </mc:Choice>
      <mc:Fallback>
        <control shapeId="1029" r:id="rId9" name="Btn스케줄보기"/>
      </mc:Fallback>
    </mc:AlternateContent>
    <mc:AlternateContent xmlns:mc="http://schemas.openxmlformats.org/markup-compatibility/2006">
      <mc:Choice Requires="x14">
        <control shapeId="1028" r:id="rId11" name="Btn스케줄등록">
          <controlPr defaultSize="0" autoLine="0" r:id="rId12">
            <anchor moveWithCells="1">
              <from>
                <xdr:col>7</xdr:col>
                <xdr:colOff>19050</xdr:colOff>
                <xdr:row>35</xdr:row>
                <xdr:rowOff>38100</xdr:rowOff>
              </from>
              <to>
                <xdr:col>9</xdr:col>
                <xdr:colOff>28575</xdr:colOff>
                <xdr:row>37</xdr:row>
                <xdr:rowOff>38100</xdr:rowOff>
              </to>
            </anchor>
          </controlPr>
        </control>
      </mc:Choice>
      <mc:Fallback>
        <control shapeId="1028" r:id="rId11" name="Btn스케줄등록"/>
      </mc:Fallback>
    </mc:AlternateContent>
    <mc:AlternateContent xmlns:mc="http://schemas.openxmlformats.org/markup-compatibility/2006">
      <mc:Choice Requires="x14">
        <control shapeId="1027" r:id="rId13" name="Btn종목목록">
          <controlPr defaultSize="0" autoLine="0" r:id="rId14">
            <anchor moveWithCells="1">
              <from>
                <xdr:col>4</xdr:col>
                <xdr:colOff>561975</xdr:colOff>
                <xdr:row>35</xdr:row>
                <xdr:rowOff>47625</xdr:rowOff>
              </from>
              <to>
                <xdr:col>6</xdr:col>
                <xdr:colOff>571500</xdr:colOff>
                <xdr:row>37</xdr:row>
                <xdr:rowOff>47625</xdr:rowOff>
              </to>
            </anchor>
          </controlPr>
        </control>
      </mc:Choice>
      <mc:Fallback>
        <control shapeId="1027" r:id="rId13" name="Btn종목목록"/>
      </mc:Fallback>
    </mc:AlternateContent>
    <mc:AlternateContent xmlns:mc="http://schemas.openxmlformats.org/markup-compatibility/2006">
      <mc:Choice Requires="x14">
        <control shapeId="1026" r:id="rId15" name="Btn대회날짜변경">
          <controlPr defaultSize="0" autoLine="0" r:id="rId16">
            <anchor moveWithCells="1">
              <from>
                <xdr:col>2</xdr:col>
                <xdr:colOff>400050</xdr:colOff>
                <xdr:row>35</xdr:row>
                <xdr:rowOff>47625</xdr:rowOff>
              </from>
              <to>
                <xdr:col>4</xdr:col>
                <xdr:colOff>409575</xdr:colOff>
                <xdr:row>37</xdr:row>
                <xdr:rowOff>47625</xdr:rowOff>
              </to>
            </anchor>
          </controlPr>
        </control>
      </mc:Choice>
      <mc:Fallback>
        <control shapeId="1026" r:id="rId15" name="Btn대회날짜변경"/>
      </mc:Fallback>
    </mc:AlternateContent>
    <mc:AlternateContent xmlns:mc="http://schemas.openxmlformats.org/markup-compatibility/2006">
      <mc:Choice Requires="x14">
        <control shapeId="1025" r:id="rId17" name="Btn로그인">
          <controlPr defaultSize="0" autoLine="0" autoPict="0" r:id="rId18">
            <anchor moveWithCells="1">
              <from>
                <xdr:col>9</xdr:col>
                <xdr:colOff>152400</xdr:colOff>
                <xdr:row>16</xdr:row>
                <xdr:rowOff>57150</xdr:rowOff>
              </from>
              <to>
                <xdr:col>11</xdr:col>
                <xdr:colOff>161925</xdr:colOff>
                <xdr:row>18</xdr:row>
                <xdr:rowOff>57150</xdr:rowOff>
              </to>
            </anchor>
          </controlPr>
        </control>
      </mc:Choice>
      <mc:Fallback>
        <control shapeId="1025" r:id="rId17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B737B-B311-45D6-94E9-C2490BE3D3A6}">
  <sheetPr codeName="Sheet2"/>
  <dimension ref="A1:T91"/>
  <sheetViews>
    <sheetView tabSelected="1" zoomScaleNormal="100" workbookViewId="0">
      <selection activeCell="K12" sqref="K12"/>
    </sheetView>
  </sheetViews>
  <sheetFormatPr defaultRowHeight="16.5"/>
  <cols>
    <col min="1" max="3" width="9" style="1"/>
    <col min="4" max="4" width="11.125" style="11" bestFit="1" customWidth="1"/>
    <col min="5" max="5" width="8.625" style="1" customWidth="1"/>
    <col min="6" max="6" width="8.75" style="1"/>
    <col min="9" max="9" width="11.125" bestFit="1" customWidth="1"/>
    <col min="10" max="10" width="19.875" bestFit="1" customWidth="1"/>
  </cols>
  <sheetData>
    <row r="1" spans="1:20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M1" t="s">
        <v>141</v>
      </c>
      <c r="N1" t="s">
        <v>142</v>
      </c>
      <c r="O1" t="s">
        <v>144</v>
      </c>
      <c r="S1" t="s">
        <v>145</v>
      </c>
      <c r="T1" t="s">
        <v>146</v>
      </c>
    </row>
    <row r="2" spans="1:20">
      <c r="A2">
        <f>COUNTIF(B2,"동팀")</f>
        <v>1</v>
      </c>
      <c r="B2" s="1" t="s">
        <v>7</v>
      </c>
      <c r="C2" s="1" t="s">
        <v>8</v>
      </c>
      <c r="D2" s="2">
        <v>35892</v>
      </c>
      <c r="E2" s="1">
        <f ca="1">DATEDIF($D2,NOW(),"Y")</f>
        <v>22</v>
      </c>
      <c r="H2">
        <f t="array" ref="H2">searchElder("동팀")</f>
        <v>0</v>
      </c>
      <c r="J2" s="3"/>
      <c r="M2">
        <f>COUNTIF(B2:B91,"동팀")</f>
        <v>41</v>
      </c>
      <c r="N2">
        <f>COUNTIF(B2:B91,"서팀")</f>
        <v>49</v>
      </c>
      <c r="O2">
        <f t="array" ref="O2">M2+N2</f>
        <v>90</v>
      </c>
    </row>
    <row r="3" spans="1:20">
      <c r="A3">
        <f>COUNTIF($B$2:$B3,"동팀")</f>
        <v>2</v>
      </c>
      <c r="B3" s="1" t="s">
        <v>7</v>
      </c>
      <c r="C3" s="1" t="s">
        <v>9</v>
      </c>
      <c r="D3" s="2">
        <v>35886</v>
      </c>
      <c r="E3" s="1">
        <f t="shared" ref="E3:E66" ca="1" si="0">DATEDIF($D3,NOW(),"Y")</f>
        <v>22</v>
      </c>
      <c r="H3">
        <f t="array" ref="H3">searchElder("서팀")</f>
        <v>0</v>
      </c>
      <c r="J3" s="10"/>
    </row>
    <row r="4" spans="1:20">
      <c r="A4">
        <f>COUNTIF($B$2:$B4,"동팀")</f>
        <v>3</v>
      </c>
      <c r="B4" s="1" t="s">
        <v>7</v>
      </c>
      <c r="C4" s="1" t="s">
        <v>10</v>
      </c>
      <c r="D4" s="2">
        <v>36340</v>
      </c>
      <c r="E4" s="1">
        <f t="shared" ca="1" si="0"/>
        <v>21</v>
      </c>
      <c r="J4" s="3"/>
    </row>
    <row r="5" spans="1:20">
      <c r="A5">
        <f>COUNTIF($B$2:$B5,"동팀")</f>
        <v>4</v>
      </c>
      <c r="B5" s="1" t="s">
        <v>7</v>
      </c>
      <c r="C5" s="1" t="s">
        <v>11</v>
      </c>
      <c r="D5" s="2">
        <v>36069</v>
      </c>
      <c r="E5" s="1">
        <f t="shared" ca="1" si="0"/>
        <v>22</v>
      </c>
    </row>
    <row r="6" spans="1:20">
      <c r="A6">
        <f>COUNTIF($B$2:$B6,"동팀")</f>
        <v>5</v>
      </c>
      <c r="B6" s="1" t="s">
        <v>7</v>
      </c>
      <c r="C6" s="1" t="s">
        <v>12</v>
      </c>
      <c r="D6" s="2">
        <v>35877</v>
      </c>
      <c r="E6" s="1">
        <f t="shared" ca="1" si="0"/>
        <v>22</v>
      </c>
    </row>
    <row r="7" spans="1:20">
      <c r="A7">
        <f>COUNTIF($B$2:$B7,"동팀")</f>
        <v>6</v>
      </c>
      <c r="B7" s="1" t="s">
        <v>7</v>
      </c>
      <c r="C7" s="1" t="s">
        <v>13</v>
      </c>
      <c r="D7" s="2">
        <v>35890</v>
      </c>
      <c r="E7" s="1">
        <f t="shared" ca="1" si="0"/>
        <v>22</v>
      </c>
    </row>
    <row r="8" spans="1:20">
      <c r="A8">
        <f>COUNTIF($B$2:$B8,"동팀")</f>
        <v>7</v>
      </c>
      <c r="B8" s="1" t="s">
        <v>7</v>
      </c>
      <c r="C8" s="1" t="s">
        <v>14</v>
      </c>
      <c r="D8" s="2">
        <v>35964</v>
      </c>
      <c r="E8" s="1">
        <f t="shared" ca="1" si="0"/>
        <v>22</v>
      </c>
    </row>
    <row r="9" spans="1:20">
      <c r="A9">
        <f>COUNTIF($B$2:$B9,"동팀")</f>
        <v>8</v>
      </c>
      <c r="B9" s="1" t="s">
        <v>7</v>
      </c>
      <c r="C9" s="1" t="s">
        <v>15</v>
      </c>
      <c r="D9" s="2">
        <v>36369</v>
      </c>
      <c r="E9" s="1">
        <f t="shared" ca="1" si="0"/>
        <v>21</v>
      </c>
    </row>
    <row r="10" spans="1:20">
      <c r="A10">
        <f>COUNTIF($B$2:$B10,"동팀")</f>
        <v>9</v>
      </c>
      <c r="B10" s="1" t="s">
        <v>7</v>
      </c>
      <c r="C10" s="1" t="s">
        <v>16</v>
      </c>
      <c r="D10" s="2">
        <v>35880</v>
      </c>
      <c r="E10" s="1">
        <f t="shared" ca="1" si="0"/>
        <v>22</v>
      </c>
    </row>
    <row r="11" spans="1:20">
      <c r="A11">
        <f>COUNTIF($B$2:$B11,"동팀")</f>
        <v>10</v>
      </c>
      <c r="B11" s="1" t="s">
        <v>7</v>
      </c>
      <c r="C11" s="1" t="s">
        <v>14</v>
      </c>
      <c r="D11" s="2">
        <v>36340</v>
      </c>
      <c r="E11" s="1">
        <f t="shared" ca="1" si="0"/>
        <v>21</v>
      </c>
    </row>
    <row r="12" spans="1:20">
      <c r="A12">
        <f>COUNTIF($B$2:$B12,"동팀")</f>
        <v>11</v>
      </c>
      <c r="B12" s="1" t="s">
        <v>7</v>
      </c>
      <c r="C12" s="1" t="s">
        <v>17</v>
      </c>
      <c r="D12" s="2">
        <v>36151</v>
      </c>
      <c r="E12" s="1">
        <f t="shared" ca="1" si="0"/>
        <v>22</v>
      </c>
    </row>
    <row r="13" spans="1:20">
      <c r="A13">
        <f>COUNTIF($B$2:$B13,"동팀")</f>
        <v>12</v>
      </c>
      <c r="B13" s="1" t="s">
        <v>7</v>
      </c>
      <c r="C13" s="1" t="s">
        <v>18</v>
      </c>
      <c r="D13" s="2">
        <v>36641</v>
      </c>
      <c r="E13" s="1">
        <f t="shared" ca="1" si="0"/>
        <v>20</v>
      </c>
    </row>
    <row r="14" spans="1:20">
      <c r="A14">
        <f>COUNTIF($B$2:$B14,"동팀")</f>
        <v>13</v>
      </c>
      <c r="B14" s="1" t="s">
        <v>7</v>
      </c>
      <c r="C14" s="1" t="s">
        <v>19</v>
      </c>
      <c r="D14" s="2">
        <v>36132</v>
      </c>
      <c r="E14" s="1">
        <f t="shared" ca="1" si="0"/>
        <v>22</v>
      </c>
    </row>
    <row r="15" spans="1:20">
      <c r="A15">
        <f>COUNTIF($B$2:$B15,"동팀")</f>
        <v>14</v>
      </c>
      <c r="B15" s="1" t="s">
        <v>7</v>
      </c>
      <c r="C15" s="1" t="s">
        <v>20</v>
      </c>
      <c r="D15" s="2">
        <v>36027</v>
      </c>
      <c r="E15" s="1">
        <f t="shared" ca="1" si="0"/>
        <v>22</v>
      </c>
    </row>
    <row r="16" spans="1:20">
      <c r="A16">
        <f>COUNTIF($B$2:$B16,"동팀")</f>
        <v>15</v>
      </c>
      <c r="B16" s="1" t="s">
        <v>7</v>
      </c>
      <c r="C16" s="1" t="s">
        <v>21</v>
      </c>
      <c r="D16" s="2">
        <v>36658</v>
      </c>
      <c r="E16" s="1">
        <f t="shared" ca="1" si="0"/>
        <v>20</v>
      </c>
    </row>
    <row r="17" spans="1:5">
      <c r="A17">
        <f>COUNTIF($B$2:$B17,"동팀")</f>
        <v>16</v>
      </c>
      <c r="B17" s="1" t="s">
        <v>7</v>
      </c>
      <c r="C17" s="1" t="s">
        <v>22</v>
      </c>
      <c r="D17" s="2">
        <v>36775</v>
      </c>
      <c r="E17" s="1">
        <f t="shared" ca="1" si="0"/>
        <v>20</v>
      </c>
    </row>
    <row r="18" spans="1:5">
      <c r="A18">
        <f>COUNTIF($B$2:$B18,"동팀")</f>
        <v>17</v>
      </c>
      <c r="B18" s="1" t="s">
        <v>7</v>
      </c>
      <c r="C18" s="1" t="s">
        <v>23</v>
      </c>
      <c r="D18" s="2">
        <v>36290</v>
      </c>
      <c r="E18" s="1">
        <f t="shared" ca="1" si="0"/>
        <v>21</v>
      </c>
    </row>
    <row r="19" spans="1:5">
      <c r="A19">
        <f>COUNTIF($B$2:$B19,"동팀")</f>
        <v>18</v>
      </c>
      <c r="B19" s="1" t="s">
        <v>7</v>
      </c>
      <c r="C19" s="1" t="s">
        <v>24</v>
      </c>
      <c r="D19" s="2">
        <v>36694</v>
      </c>
      <c r="E19" s="1">
        <f t="shared" ca="1" si="0"/>
        <v>20</v>
      </c>
    </row>
    <row r="20" spans="1:5">
      <c r="A20">
        <f>COUNTIF($B$2:$B20,"동팀")</f>
        <v>19</v>
      </c>
      <c r="B20" s="1" t="s">
        <v>7</v>
      </c>
      <c r="C20" s="1" t="s">
        <v>14</v>
      </c>
      <c r="D20" s="2">
        <v>36423</v>
      </c>
      <c r="E20" s="1">
        <f t="shared" ca="1" si="0"/>
        <v>21</v>
      </c>
    </row>
    <row r="21" spans="1:5">
      <c r="A21">
        <f>COUNTIF($B$2:$B21,"동팀")</f>
        <v>20</v>
      </c>
      <c r="B21" s="1" t="s">
        <v>7</v>
      </c>
      <c r="C21" s="1" t="s">
        <v>25</v>
      </c>
      <c r="D21" s="2">
        <v>36115</v>
      </c>
      <c r="E21" s="1">
        <f t="shared" ca="1" si="0"/>
        <v>22</v>
      </c>
    </row>
    <row r="22" spans="1:5">
      <c r="A22">
        <f>COUNTIF($B$2:$B22,"동팀")</f>
        <v>21</v>
      </c>
      <c r="B22" s="1" t="s">
        <v>7</v>
      </c>
      <c r="C22" s="1" t="s">
        <v>26</v>
      </c>
      <c r="D22" s="2">
        <v>36134</v>
      </c>
      <c r="E22" s="1">
        <f t="shared" ca="1" si="0"/>
        <v>22</v>
      </c>
    </row>
    <row r="23" spans="1:5">
      <c r="A23">
        <f>COUNTIF($B$2:$B23,"동팀")</f>
        <v>22</v>
      </c>
      <c r="B23" s="1" t="s">
        <v>7</v>
      </c>
      <c r="C23" s="1" t="s">
        <v>27</v>
      </c>
      <c r="D23" s="2">
        <v>35968</v>
      </c>
      <c r="E23" s="1">
        <f t="shared" ca="1" si="0"/>
        <v>22</v>
      </c>
    </row>
    <row r="24" spans="1:5">
      <c r="A24">
        <f>COUNTIF($B$2:$B24,"동팀")</f>
        <v>23</v>
      </c>
      <c r="B24" s="1" t="s">
        <v>7</v>
      </c>
      <c r="C24" s="1" t="s">
        <v>28</v>
      </c>
      <c r="D24" s="2">
        <v>36281</v>
      </c>
      <c r="E24" s="1">
        <f t="shared" ca="1" si="0"/>
        <v>21</v>
      </c>
    </row>
    <row r="25" spans="1:5">
      <c r="A25">
        <f>COUNTIF($B$2:$B25,"동팀")</f>
        <v>24</v>
      </c>
      <c r="B25" s="1" t="s">
        <v>7</v>
      </c>
      <c r="C25" s="1" t="s">
        <v>29</v>
      </c>
      <c r="D25" s="2">
        <v>36678</v>
      </c>
      <c r="E25" s="1">
        <f t="shared" ca="1" si="0"/>
        <v>20</v>
      </c>
    </row>
    <row r="26" spans="1:5">
      <c r="A26">
        <f>COUNTIF($B$2:$B26,"동팀")</f>
        <v>25</v>
      </c>
      <c r="B26" s="1" t="s">
        <v>7</v>
      </c>
      <c r="C26" s="1" t="s">
        <v>30</v>
      </c>
      <c r="D26" s="2">
        <v>36290</v>
      </c>
      <c r="E26" s="1">
        <f t="shared" ca="1" si="0"/>
        <v>21</v>
      </c>
    </row>
    <row r="27" spans="1:5">
      <c r="A27">
        <f>COUNTIF($B$2:$B27,"동팀")</f>
        <v>26</v>
      </c>
      <c r="B27" s="1" t="s">
        <v>7</v>
      </c>
      <c r="C27" s="1" t="s">
        <v>31</v>
      </c>
      <c r="D27" s="2">
        <v>36237</v>
      </c>
      <c r="E27" s="1">
        <f t="shared" ca="1" si="0"/>
        <v>21</v>
      </c>
    </row>
    <row r="28" spans="1:5">
      <c r="A28">
        <f>COUNTIF($B$2:$B28,"동팀")</f>
        <v>27</v>
      </c>
      <c r="B28" s="1" t="s">
        <v>7</v>
      </c>
      <c r="C28" s="1" t="s">
        <v>32</v>
      </c>
      <c r="D28" s="2">
        <v>36431</v>
      </c>
      <c r="E28" s="1">
        <f t="shared" ca="1" si="0"/>
        <v>21</v>
      </c>
    </row>
    <row r="29" spans="1:5">
      <c r="A29">
        <f>COUNTIF($B$2:$B29,"동팀")</f>
        <v>28</v>
      </c>
      <c r="B29" s="1" t="s">
        <v>7</v>
      </c>
      <c r="C29" s="1" t="s">
        <v>9</v>
      </c>
      <c r="D29" s="2">
        <v>36339</v>
      </c>
      <c r="E29" s="1">
        <f t="shared" ca="1" si="0"/>
        <v>21</v>
      </c>
    </row>
    <row r="30" spans="1:5">
      <c r="A30">
        <f>COUNTIF($B$2:$B30,"동팀")</f>
        <v>29</v>
      </c>
      <c r="B30" s="1" t="s">
        <v>7</v>
      </c>
      <c r="C30" s="1" t="s">
        <v>33</v>
      </c>
      <c r="D30" s="2">
        <v>36626</v>
      </c>
      <c r="E30" s="1">
        <f t="shared" ca="1" si="0"/>
        <v>20</v>
      </c>
    </row>
    <row r="31" spans="1:5">
      <c r="A31">
        <f>COUNTIF($B$2:$B31,"동팀")</f>
        <v>30</v>
      </c>
      <c r="B31" s="1" t="s">
        <v>7</v>
      </c>
      <c r="C31" s="1" t="s">
        <v>34</v>
      </c>
      <c r="D31" s="2">
        <v>35900</v>
      </c>
      <c r="E31" s="1">
        <f t="shared" ca="1" si="0"/>
        <v>22</v>
      </c>
    </row>
    <row r="32" spans="1:5">
      <c r="A32">
        <f>COUNTIF($B$2:$B32,"동팀")</f>
        <v>31</v>
      </c>
      <c r="B32" s="1" t="s">
        <v>7</v>
      </c>
      <c r="C32" s="1" t="s">
        <v>35</v>
      </c>
      <c r="D32" s="2">
        <v>36476</v>
      </c>
      <c r="E32" s="1">
        <f t="shared" ca="1" si="0"/>
        <v>21</v>
      </c>
    </row>
    <row r="33" spans="1:5">
      <c r="A33">
        <f>COUNTIF($B$2:$B33,"동팀")</f>
        <v>32</v>
      </c>
      <c r="B33" s="1" t="s">
        <v>7</v>
      </c>
      <c r="C33" s="1" t="s">
        <v>36</v>
      </c>
      <c r="D33" s="2">
        <v>35931</v>
      </c>
      <c r="E33" s="1">
        <f t="shared" ca="1" si="0"/>
        <v>22</v>
      </c>
    </row>
    <row r="34" spans="1:5">
      <c r="A34">
        <f>COUNTIF($B$2:$B34,"동팀")</f>
        <v>33</v>
      </c>
      <c r="B34" s="1" t="s">
        <v>7</v>
      </c>
      <c r="C34" s="1" t="s">
        <v>37</v>
      </c>
      <c r="D34" s="2">
        <v>36602</v>
      </c>
      <c r="E34" s="1">
        <f t="shared" ca="1" si="0"/>
        <v>20</v>
      </c>
    </row>
    <row r="35" spans="1:5">
      <c r="A35">
        <f>COUNTIF($B$2:$B35,"동팀")</f>
        <v>34</v>
      </c>
      <c r="B35" s="1" t="s">
        <v>7</v>
      </c>
      <c r="C35" s="1" t="s">
        <v>38</v>
      </c>
      <c r="D35" s="2">
        <v>35964</v>
      </c>
      <c r="E35" s="1">
        <f t="shared" ca="1" si="0"/>
        <v>22</v>
      </c>
    </row>
    <row r="36" spans="1:5">
      <c r="A36">
        <f>COUNTIF($B$2:$B36,"동팀")</f>
        <v>35</v>
      </c>
      <c r="B36" s="1" t="s">
        <v>7</v>
      </c>
      <c r="C36" s="1" t="s">
        <v>39</v>
      </c>
      <c r="D36" s="2">
        <v>36742</v>
      </c>
      <c r="E36" s="1">
        <f t="shared" ca="1" si="0"/>
        <v>20</v>
      </c>
    </row>
    <row r="37" spans="1:5">
      <c r="A37">
        <f>COUNTIF($B$2:$B37,"동팀")</f>
        <v>36</v>
      </c>
      <c r="B37" s="1" t="s">
        <v>7</v>
      </c>
      <c r="C37" s="1" t="s">
        <v>40</v>
      </c>
      <c r="D37" s="2">
        <v>36422</v>
      </c>
      <c r="E37" s="1">
        <f t="shared" ca="1" si="0"/>
        <v>21</v>
      </c>
    </row>
    <row r="38" spans="1:5">
      <c r="A38">
        <f>COUNTIF($B$2:$B38,"동팀")</f>
        <v>37</v>
      </c>
      <c r="B38" s="1" t="s">
        <v>7</v>
      </c>
      <c r="C38" s="1" t="s">
        <v>41</v>
      </c>
      <c r="D38" s="2">
        <v>36182</v>
      </c>
      <c r="E38" s="1">
        <f t="shared" ca="1" si="0"/>
        <v>22</v>
      </c>
    </row>
    <row r="39" spans="1:5">
      <c r="A39">
        <f>COUNTIF($B$2:$B39,"동팀")</f>
        <v>38</v>
      </c>
      <c r="B39" s="1" t="s">
        <v>7</v>
      </c>
      <c r="C39" s="1" t="s">
        <v>42</v>
      </c>
      <c r="D39" s="2">
        <v>36742</v>
      </c>
      <c r="E39" s="1">
        <f t="shared" ca="1" si="0"/>
        <v>20</v>
      </c>
    </row>
    <row r="40" spans="1:5">
      <c r="A40">
        <f>COUNTIF($B$2:$B40,"동팀")</f>
        <v>39</v>
      </c>
      <c r="B40" s="1" t="s">
        <v>7</v>
      </c>
      <c r="C40" s="1" t="s">
        <v>43</v>
      </c>
      <c r="D40" s="2">
        <v>36476</v>
      </c>
      <c r="E40" s="1">
        <f t="shared" ca="1" si="0"/>
        <v>21</v>
      </c>
    </row>
    <row r="41" spans="1:5">
      <c r="A41">
        <f>COUNTIF($B$2:$B41,"동팀")</f>
        <v>40</v>
      </c>
      <c r="B41" s="1" t="s">
        <v>7</v>
      </c>
      <c r="C41" s="1" t="s">
        <v>44</v>
      </c>
      <c r="D41" s="2">
        <v>36602</v>
      </c>
      <c r="E41" s="1">
        <f t="shared" ca="1" si="0"/>
        <v>20</v>
      </c>
    </row>
    <row r="42" spans="1:5">
      <c r="A42">
        <f>COUNTIF($B$2:$B42,"동팀")</f>
        <v>41</v>
      </c>
      <c r="B42" s="1" t="s">
        <v>7</v>
      </c>
      <c r="C42" s="1" t="s">
        <v>45</v>
      </c>
      <c r="D42" s="2">
        <v>36161</v>
      </c>
      <c r="E42" s="1">
        <f t="shared" ca="1" si="0"/>
        <v>22</v>
      </c>
    </row>
    <row r="43" spans="1:5">
      <c r="A43">
        <f>COUNTIF(B43,"서팀")</f>
        <v>1</v>
      </c>
      <c r="B43" s="1" t="s">
        <v>46</v>
      </c>
      <c r="C43" s="1" t="s">
        <v>47</v>
      </c>
      <c r="D43" s="2">
        <v>36837</v>
      </c>
      <c r="E43" s="1">
        <f t="shared" ca="1" si="0"/>
        <v>20</v>
      </c>
    </row>
    <row r="44" spans="1:5">
      <c r="A44">
        <f>COUNTIF($B$43:$B44,"서팀")</f>
        <v>2</v>
      </c>
      <c r="B44" s="1" t="s">
        <v>46</v>
      </c>
      <c r="C44" s="1" t="s">
        <v>48</v>
      </c>
      <c r="D44" s="2">
        <v>36741</v>
      </c>
      <c r="E44" s="1">
        <f t="shared" ca="1" si="0"/>
        <v>20</v>
      </c>
    </row>
    <row r="45" spans="1:5">
      <c r="A45">
        <f>COUNTIF($B$43:$B45,"서팀")</f>
        <v>3</v>
      </c>
      <c r="B45" s="1" t="s">
        <v>46</v>
      </c>
      <c r="C45" s="1" t="s">
        <v>49</v>
      </c>
      <c r="D45" s="2">
        <v>35840</v>
      </c>
      <c r="E45" s="1">
        <f t="shared" ca="1" si="0"/>
        <v>23</v>
      </c>
    </row>
    <row r="46" spans="1:5">
      <c r="A46">
        <f>COUNTIF($B$43:$B46,"서팀")</f>
        <v>4</v>
      </c>
      <c r="B46" s="1" t="s">
        <v>46</v>
      </c>
      <c r="C46" s="1" t="s">
        <v>50</v>
      </c>
      <c r="D46" s="2">
        <v>36615</v>
      </c>
      <c r="E46" s="1">
        <f t="shared" ca="1" si="0"/>
        <v>20</v>
      </c>
    </row>
    <row r="47" spans="1:5">
      <c r="A47">
        <f>COUNTIF($B$43:$B47,"서팀")</f>
        <v>5</v>
      </c>
      <c r="B47" s="1" t="s">
        <v>46</v>
      </c>
      <c r="C47" s="1" t="s">
        <v>51</v>
      </c>
      <c r="D47" s="2">
        <v>36811</v>
      </c>
      <c r="E47" s="1">
        <f t="shared" ca="1" si="0"/>
        <v>20</v>
      </c>
    </row>
    <row r="48" spans="1:5">
      <c r="A48">
        <f>COUNTIF($B$43:$B48,"서팀")</f>
        <v>6</v>
      </c>
      <c r="B48" s="1" t="s">
        <v>46</v>
      </c>
      <c r="C48" s="1" t="s">
        <v>52</v>
      </c>
      <c r="D48" s="2">
        <v>36122</v>
      </c>
      <c r="E48" s="1">
        <f t="shared" ca="1" si="0"/>
        <v>22</v>
      </c>
    </row>
    <row r="49" spans="1:5">
      <c r="A49">
        <f>COUNTIF($B$43:$B49,"서팀")</f>
        <v>7</v>
      </c>
      <c r="B49" s="1" t="s">
        <v>46</v>
      </c>
      <c r="C49" s="1" t="s">
        <v>53</v>
      </c>
      <c r="D49" s="2">
        <v>35869</v>
      </c>
      <c r="E49" s="1">
        <f t="shared" ca="1" si="0"/>
        <v>22</v>
      </c>
    </row>
    <row r="50" spans="1:5">
      <c r="A50">
        <f>COUNTIF($B$43:$B50,"서팀")</f>
        <v>8</v>
      </c>
      <c r="B50" s="1" t="s">
        <v>46</v>
      </c>
      <c r="C50" s="1" t="s">
        <v>54</v>
      </c>
      <c r="D50" s="2">
        <v>35893</v>
      </c>
      <c r="E50" s="1">
        <f t="shared" ca="1" si="0"/>
        <v>22</v>
      </c>
    </row>
    <row r="51" spans="1:5">
      <c r="A51">
        <f>COUNTIF($B$43:$B51,"서팀")</f>
        <v>9</v>
      </c>
      <c r="B51" s="1" t="s">
        <v>46</v>
      </c>
      <c r="C51" s="1" t="s">
        <v>55</v>
      </c>
      <c r="D51" s="2">
        <v>36520</v>
      </c>
      <c r="E51" s="1">
        <f t="shared" ca="1" si="0"/>
        <v>21</v>
      </c>
    </row>
    <row r="52" spans="1:5">
      <c r="A52">
        <f>COUNTIF($B$43:$B52,"서팀")</f>
        <v>10</v>
      </c>
      <c r="B52" s="1" t="s">
        <v>46</v>
      </c>
      <c r="C52" s="1" t="s">
        <v>56</v>
      </c>
      <c r="D52" s="2">
        <v>36075</v>
      </c>
      <c r="E52" s="1">
        <f t="shared" ca="1" si="0"/>
        <v>22</v>
      </c>
    </row>
    <row r="53" spans="1:5">
      <c r="A53">
        <f>COUNTIF($B$43:$B53,"서팀")</f>
        <v>11</v>
      </c>
      <c r="B53" s="1" t="s">
        <v>46</v>
      </c>
      <c r="C53" s="1" t="s">
        <v>57</v>
      </c>
      <c r="D53" s="2">
        <v>36239</v>
      </c>
      <c r="E53" s="1">
        <f t="shared" ca="1" si="0"/>
        <v>21</v>
      </c>
    </row>
    <row r="54" spans="1:5">
      <c r="A54">
        <f>COUNTIF($B$43:$B54,"서팀")</f>
        <v>12</v>
      </c>
      <c r="B54" s="1" t="s">
        <v>46</v>
      </c>
      <c r="C54" s="1" t="s">
        <v>58</v>
      </c>
      <c r="D54" s="2">
        <v>36651</v>
      </c>
      <c r="E54" s="1">
        <f t="shared" ca="1" si="0"/>
        <v>20</v>
      </c>
    </row>
    <row r="55" spans="1:5">
      <c r="A55">
        <f>COUNTIF($B$43:$B55,"서팀")</f>
        <v>13</v>
      </c>
      <c r="B55" s="1" t="s">
        <v>46</v>
      </c>
      <c r="C55" s="1" t="s">
        <v>59</v>
      </c>
      <c r="D55" s="2">
        <v>36365</v>
      </c>
      <c r="E55" s="1">
        <f t="shared" ca="1" si="0"/>
        <v>21</v>
      </c>
    </row>
    <row r="56" spans="1:5">
      <c r="A56">
        <f>COUNTIF($B$43:$B56,"서팀")</f>
        <v>14</v>
      </c>
      <c r="B56" s="1" t="s">
        <v>46</v>
      </c>
      <c r="C56" s="1" t="s">
        <v>60</v>
      </c>
      <c r="D56" s="2">
        <v>36766</v>
      </c>
      <c r="E56" s="1">
        <f t="shared" ca="1" si="0"/>
        <v>20</v>
      </c>
    </row>
    <row r="57" spans="1:5">
      <c r="A57">
        <f>COUNTIF($B$43:$B57,"서팀")</f>
        <v>15</v>
      </c>
      <c r="B57" s="1" t="s">
        <v>46</v>
      </c>
      <c r="C57" s="1" t="s">
        <v>61</v>
      </c>
      <c r="D57" s="2">
        <v>36766</v>
      </c>
      <c r="E57" s="1">
        <f t="shared" ca="1" si="0"/>
        <v>20</v>
      </c>
    </row>
    <row r="58" spans="1:5">
      <c r="A58">
        <f>COUNTIF($B$43:$B58,"서팀")</f>
        <v>16</v>
      </c>
      <c r="B58" s="1" t="s">
        <v>46</v>
      </c>
      <c r="C58" s="1" t="s">
        <v>62</v>
      </c>
      <c r="D58" s="2">
        <v>36520</v>
      </c>
      <c r="E58" s="1">
        <f t="shared" ca="1" si="0"/>
        <v>21</v>
      </c>
    </row>
    <row r="59" spans="1:5">
      <c r="A59">
        <f>COUNTIF($B$43:$B59,"서팀")</f>
        <v>17</v>
      </c>
      <c r="B59" s="1" t="s">
        <v>46</v>
      </c>
      <c r="C59" s="1" t="s">
        <v>63</v>
      </c>
      <c r="D59" s="2">
        <v>35878</v>
      </c>
      <c r="E59" s="1">
        <f t="shared" ca="1" si="0"/>
        <v>22</v>
      </c>
    </row>
    <row r="60" spans="1:5">
      <c r="A60">
        <f>COUNTIF($B$43:$B60,"서팀")</f>
        <v>18</v>
      </c>
      <c r="B60" s="1" t="s">
        <v>46</v>
      </c>
      <c r="C60" s="1" t="s">
        <v>64</v>
      </c>
      <c r="D60" s="2">
        <v>35807</v>
      </c>
      <c r="E60" s="1">
        <f t="shared" ca="1" si="0"/>
        <v>23</v>
      </c>
    </row>
    <row r="61" spans="1:5">
      <c r="A61">
        <f>COUNTIF($B$43:$B61,"서팀")</f>
        <v>19</v>
      </c>
      <c r="B61" s="1" t="s">
        <v>46</v>
      </c>
      <c r="C61" s="1" t="s">
        <v>65</v>
      </c>
      <c r="D61" s="2">
        <v>36203</v>
      </c>
      <c r="E61" s="1">
        <f t="shared" ca="1" si="0"/>
        <v>22</v>
      </c>
    </row>
    <row r="62" spans="1:5">
      <c r="A62">
        <f>COUNTIF($B$43:$B62,"서팀")</f>
        <v>20</v>
      </c>
      <c r="B62" s="1" t="s">
        <v>46</v>
      </c>
      <c r="C62" s="1" t="s">
        <v>66</v>
      </c>
      <c r="D62" s="2">
        <v>36521</v>
      </c>
      <c r="E62" s="1">
        <f t="shared" ca="1" si="0"/>
        <v>21</v>
      </c>
    </row>
    <row r="63" spans="1:5">
      <c r="A63">
        <f>COUNTIF($B$43:$B63,"서팀")</f>
        <v>21</v>
      </c>
      <c r="B63" s="1" t="s">
        <v>46</v>
      </c>
      <c r="C63" s="1" t="s">
        <v>67</v>
      </c>
      <c r="D63" s="2">
        <v>36216</v>
      </c>
      <c r="E63" s="1">
        <f t="shared" ca="1" si="0"/>
        <v>22</v>
      </c>
    </row>
    <row r="64" spans="1:5">
      <c r="A64">
        <f>COUNTIF($B$43:$B64,"서팀")</f>
        <v>22</v>
      </c>
      <c r="B64" s="1" t="s">
        <v>46</v>
      </c>
      <c r="C64" s="1" t="s">
        <v>68</v>
      </c>
      <c r="D64" s="2">
        <v>36104</v>
      </c>
      <c r="E64" s="1">
        <f t="shared" ca="1" si="0"/>
        <v>22</v>
      </c>
    </row>
    <row r="65" spans="1:5">
      <c r="A65">
        <f>COUNTIF($B$43:$B65,"서팀")</f>
        <v>23</v>
      </c>
      <c r="B65" s="1" t="s">
        <v>46</v>
      </c>
      <c r="C65" s="1" t="s">
        <v>69</v>
      </c>
      <c r="D65" s="2">
        <v>36104</v>
      </c>
      <c r="E65" s="1">
        <f t="shared" ca="1" si="0"/>
        <v>22</v>
      </c>
    </row>
    <row r="66" spans="1:5">
      <c r="A66">
        <f>COUNTIF($B$43:$B66,"서팀")</f>
        <v>24</v>
      </c>
      <c r="B66" s="1" t="s">
        <v>46</v>
      </c>
      <c r="C66" s="1" t="s">
        <v>70</v>
      </c>
      <c r="D66" s="2">
        <v>36681</v>
      </c>
      <c r="E66" s="1">
        <f t="shared" ca="1" si="0"/>
        <v>20</v>
      </c>
    </row>
    <row r="67" spans="1:5">
      <c r="A67">
        <f>COUNTIF($B$43:$B67,"서팀")</f>
        <v>25</v>
      </c>
      <c r="B67" s="1" t="s">
        <v>46</v>
      </c>
      <c r="C67" s="1" t="s">
        <v>71</v>
      </c>
      <c r="D67" s="2">
        <v>36089</v>
      </c>
      <c r="E67" s="1">
        <f t="shared" ref="E67:E91" ca="1" si="1">DATEDIF($D67,NOW(),"Y")</f>
        <v>22</v>
      </c>
    </row>
    <row r="68" spans="1:5">
      <c r="A68">
        <f>COUNTIF($B$43:$B68,"서팀")</f>
        <v>26</v>
      </c>
      <c r="B68" s="1" t="s">
        <v>46</v>
      </c>
      <c r="C68" s="1" t="s">
        <v>72</v>
      </c>
      <c r="D68" s="2">
        <v>36286</v>
      </c>
      <c r="E68" s="1">
        <f t="shared" ca="1" si="1"/>
        <v>21</v>
      </c>
    </row>
    <row r="69" spans="1:5">
      <c r="A69">
        <f>COUNTIF($B$43:$B69,"서팀")</f>
        <v>27</v>
      </c>
      <c r="B69" s="1" t="s">
        <v>46</v>
      </c>
      <c r="C69" s="1" t="s">
        <v>73</v>
      </c>
      <c r="D69" s="2">
        <v>36507</v>
      </c>
      <c r="E69" s="1">
        <f t="shared" ca="1" si="1"/>
        <v>21</v>
      </c>
    </row>
    <row r="70" spans="1:5">
      <c r="A70">
        <f>COUNTIF($B$43:$B70,"서팀")</f>
        <v>28</v>
      </c>
      <c r="B70" s="1" t="s">
        <v>46</v>
      </c>
      <c r="C70" s="1" t="s">
        <v>74</v>
      </c>
      <c r="D70" s="2">
        <v>35804</v>
      </c>
      <c r="E70" s="1">
        <f t="shared" ca="1" si="1"/>
        <v>23</v>
      </c>
    </row>
    <row r="71" spans="1:5">
      <c r="A71">
        <f>COUNTIF($B$43:$B71,"서팀")</f>
        <v>29</v>
      </c>
      <c r="B71" s="1" t="s">
        <v>46</v>
      </c>
      <c r="C71" s="1" t="s">
        <v>75</v>
      </c>
      <c r="D71" s="2">
        <v>36810</v>
      </c>
      <c r="E71" s="1">
        <f t="shared" ca="1" si="1"/>
        <v>20</v>
      </c>
    </row>
    <row r="72" spans="1:5">
      <c r="A72">
        <f>COUNTIF($B$43:$B72,"서팀")</f>
        <v>30</v>
      </c>
      <c r="B72" s="1" t="s">
        <v>46</v>
      </c>
      <c r="C72" s="1" t="s">
        <v>76</v>
      </c>
      <c r="D72" s="2">
        <v>36709</v>
      </c>
      <c r="E72" s="1">
        <f t="shared" ca="1" si="1"/>
        <v>20</v>
      </c>
    </row>
    <row r="73" spans="1:5">
      <c r="A73">
        <f>COUNTIF($B$43:$B73,"서팀")</f>
        <v>31</v>
      </c>
      <c r="B73" s="1" t="s">
        <v>46</v>
      </c>
      <c r="C73" s="1" t="s">
        <v>66</v>
      </c>
      <c r="D73" s="2">
        <v>36377</v>
      </c>
      <c r="E73" s="1">
        <f t="shared" ca="1" si="1"/>
        <v>21</v>
      </c>
    </row>
    <row r="74" spans="1:5">
      <c r="A74">
        <f>COUNTIF($B$43:$B74,"서팀")</f>
        <v>32</v>
      </c>
      <c r="B74" s="1" t="s">
        <v>46</v>
      </c>
      <c r="C74" s="1" t="s">
        <v>77</v>
      </c>
      <c r="D74" s="2">
        <v>36714</v>
      </c>
      <c r="E74" s="1">
        <f t="shared" ca="1" si="1"/>
        <v>20</v>
      </c>
    </row>
    <row r="75" spans="1:5">
      <c r="A75">
        <f>COUNTIF($B$43:$B75,"서팀")</f>
        <v>33</v>
      </c>
      <c r="B75" s="1" t="s">
        <v>46</v>
      </c>
      <c r="C75" s="1" t="s">
        <v>78</v>
      </c>
      <c r="D75" s="2">
        <v>36521</v>
      </c>
      <c r="E75" s="1">
        <f t="shared" ca="1" si="1"/>
        <v>21</v>
      </c>
    </row>
    <row r="76" spans="1:5">
      <c r="A76">
        <f>COUNTIF($B$43:$B76,"서팀")</f>
        <v>34</v>
      </c>
      <c r="B76" s="1" t="s">
        <v>46</v>
      </c>
      <c r="C76" s="1" t="s">
        <v>79</v>
      </c>
      <c r="D76" s="2">
        <v>36708</v>
      </c>
      <c r="E76" s="1">
        <f t="shared" ca="1" si="1"/>
        <v>20</v>
      </c>
    </row>
    <row r="77" spans="1:5">
      <c r="A77">
        <f>COUNTIF($B$43:$B77,"서팀")</f>
        <v>35</v>
      </c>
      <c r="B77" s="1" t="s">
        <v>46</v>
      </c>
      <c r="C77" s="1" t="s">
        <v>80</v>
      </c>
      <c r="D77" s="2">
        <v>36373</v>
      </c>
      <c r="E77" s="1">
        <f t="shared" ca="1" si="1"/>
        <v>21</v>
      </c>
    </row>
    <row r="78" spans="1:5">
      <c r="A78">
        <f>COUNTIF($B$43:$B78,"서팀")</f>
        <v>36</v>
      </c>
      <c r="B78" s="1" t="s">
        <v>46</v>
      </c>
      <c r="C78" s="1" t="s">
        <v>81</v>
      </c>
      <c r="D78" s="2">
        <v>36260</v>
      </c>
      <c r="E78" s="1">
        <f t="shared" ca="1" si="1"/>
        <v>21</v>
      </c>
    </row>
    <row r="79" spans="1:5">
      <c r="A79">
        <f>COUNTIF($B$43:$B79,"서팀")</f>
        <v>37</v>
      </c>
      <c r="B79" s="1" t="s">
        <v>46</v>
      </c>
      <c r="C79" s="1" t="s">
        <v>82</v>
      </c>
      <c r="D79" s="2">
        <v>36282</v>
      </c>
      <c r="E79" s="1">
        <f t="shared" ca="1" si="1"/>
        <v>21</v>
      </c>
    </row>
    <row r="80" spans="1:5">
      <c r="A80">
        <f>COUNTIF($B$43:$B80,"서팀")</f>
        <v>38</v>
      </c>
      <c r="B80" s="1" t="s">
        <v>46</v>
      </c>
      <c r="C80" s="1" t="s">
        <v>83</v>
      </c>
      <c r="D80" s="2">
        <v>35904</v>
      </c>
      <c r="E80" s="1">
        <f t="shared" ca="1" si="1"/>
        <v>22</v>
      </c>
    </row>
    <row r="81" spans="1:5">
      <c r="A81">
        <f>COUNTIF($B$43:$B81,"서팀")</f>
        <v>39</v>
      </c>
      <c r="B81" s="1" t="s">
        <v>46</v>
      </c>
      <c r="C81" s="1" t="s">
        <v>84</v>
      </c>
      <c r="D81" s="2">
        <v>36475</v>
      </c>
      <c r="E81" s="1">
        <f t="shared" ca="1" si="1"/>
        <v>21</v>
      </c>
    </row>
    <row r="82" spans="1:5">
      <c r="A82">
        <f>COUNTIF($B$43:$B82,"서팀")</f>
        <v>40</v>
      </c>
      <c r="B82" s="1" t="s">
        <v>46</v>
      </c>
      <c r="C82" s="1" t="s">
        <v>85</v>
      </c>
      <c r="D82" s="2">
        <v>35991</v>
      </c>
      <c r="E82" s="1">
        <f t="shared" ca="1" si="1"/>
        <v>22</v>
      </c>
    </row>
    <row r="83" spans="1:5">
      <c r="A83">
        <f>COUNTIF($B$43:$B83,"서팀")</f>
        <v>41</v>
      </c>
      <c r="B83" s="1" t="s">
        <v>46</v>
      </c>
      <c r="C83" s="1" t="s">
        <v>86</v>
      </c>
      <c r="D83" s="2">
        <v>36618</v>
      </c>
      <c r="E83" s="1">
        <f t="shared" ca="1" si="1"/>
        <v>20</v>
      </c>
    </row>
    <row r="84" spans="1:5">
      <c r="A84">
        <f>COUNTIF($B$43:$B84,"서팀")</f>
        <v>42</v>
      </c>
      <c r="B84" s="1" t="s">
        <v>46</v>
      </c>
      <c r="C84" s="1" t="s">
        <v>87</v>
      </c>
      <c r="D84" s="2">
        <v>35909</v>
      </c>
      <c r="E84" s="1">
        <f t="shared" ca="1" si="1"/>
        <v>22</v>
      </c>
    </row>
    <row r="85" spans="1:5">
      <c r="A85">
        <f>COUNTIF($B$43:$B85,"서팀")</f>
        <v>43</v>
      </c>
      <c r="B85" s="1" t="s">
        <v>46</v>
      </c>
      <c r="C85" s="1" t="s">
        <v>88</v>
      </c>
      <c r="D85" s="2">
        <v>36521</v>
      </c>
      <c r="E85" s="1">
        <f t="shared" ca="1" si="1"/>
        <v>21</v>
      </c>
    </row>
    <row r="86" spans="1:5">
      <c r="A86">
        <f>COUNTIF($B$43:$B86,"서팀")</f>
        <v>44</v>
      </c>
      <c r="B86" s="1" t="s">
        <v>46</v>
      </c>
      <c r="C86" s="1" t="s">
        <v>89</v>
      </c>
      <c r="D86" s="2">
        <v>36206</v>
      </c>
      <c r="E86" s="1">
        <f t="shared" ca="1" si="1"/>
        <v>22</v>
      </c>
    </row>
    <row r="87" spans="1:5">
      <c r="A87">
        <f>COUNTIF($B$43:$B87,"서팀")</f>
        <v>45</v>
      </c>
      <c r="B87" s="1" t="s">
        <v>46</v>
      </c>
      <c r="C87" s="1" t="s">
        <v>85</v>
      </c>
      <c r="D87" s="2">
        <v>36712</v>
      </c>
      <c r="E87" s="1">
        <f t="shared" ca="1" si="1"/>
        <v>20</v>
      </c>
    </row>
    <row r="88" spans="1:5">
      <c r="A88">
        <f>COUNTIF($B$43:$B88,"서팀")</f>
        <v>46</v>
      </c>
      <c r="B88" s="1" t="s">
        <v>46</v>
      </c>
      <c r="C88" s="1" t="s">
        <v>90</v>
      </c>
      <c r="D88" s="2">
        <v>36115</v>
      </c>
      <c r="E88" s="1">
        <f t="shared" ca="1" si="1"/>
        <v>22</v>
      </c>
    </row>
    <row r="89" spans="1:5">
      <c r="A89">
        <f>COUNTIF($B$43:$B89,"서팀")</f>
        <v>47</v>
      </c>
      <c r="B89" s="1" t="s">
        <v>46</v>
      </c>
      <c r="C89" s="1" t="s">
        <v>91</v>
      </c>
      <c r="D89" s="2">
        <v>36764</v>
      </c>
      <c r="E89" s="1">
        <f t="shared" ca="1" si="1"/>
        <v>20</v>
      </c>
    </row>
    <row r="90" spans="1:5">
      <c r="A90">
        <f>COUNTIF($B$43:$B90,"서팀")</f>
        <v>48</v>
      </c>
      <c r="B90" s="1" t="s">
        <v>46</v>
      </c>
      <c r="C90" s="1" t="s">
        <v>92</v>
      </c>
      <c r="D90" s="2">
        <v>36678</v>
      </c>
      <c r="E90" s="1">
        <f t="shared" ca="1" si="1"/>
        <v>20</v>
      </c>
    </row>
    <row r="91" spans="1:5">
      <c r="A91">
        <f>COUNTIF($B$43:$B91,"서팀")</f>
        <v>49</v>
      </c>
      <c r="B91" s="1" t="s">
        <v>46</v>
      </c>
      <c r="C91" s="1" t="s">
        <v>93</v>
      </c>
      <c r="D91" s="2">
        <v>36343</v>
      </c>
      <c r="E91" s="1">
        <f t="shared" ca="1" si="1"/>
        <v>21</v>
      </c>
    </row>
  </sheetData>
  <phoneticPr fontId="1" type="noConversion"/>
  <conditionalFormatting sqref="A1:F1048576">
    <cfRule type="expression" dxfId="2" priority="1">
      <formula>$A1&lt;&gt;""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298FD-AF85-4317-883D-65AD15FC33C6}">
  <sheetPr codeName="Sheet3"/>
  <dimension ref="A1:I23"/>
  <sheetViews>
    <sheetView workbookViewId="0">
      <selection activeCell="D2" sqref="D2:D1048576"/>
    </sheetView>
  </sheetViews>
  <sheetFormatPr defaultRowHeight="16.5"/>
  <cols>
    <col min="1" max="1" width="9.75" customWidth="1"/>
    <col min="2" max="2" width="14.875" customWidth="1"/>
    <col min="3" max="3" width="12.375" bestFit="1" customWidth="1"/>
    <col min="4" max="4" width="11" bestFit="1" customWidth="1"/>
    <col min="5" max="5" width="11.5" customWidth="1"/>
  </cols>
  <sheetData>
    <row r="1" spans="1:9">
      <c r="A1" s="6" t="s">
        <v>94</v>
      </c>
      <c r="B1" s="6" t="s">
        <v>95</v>
      </c>
      <c r="C1" s="6" t="s">
        <v>96</v>
      </c>
      <c r="D1" s="6" t="s">
        <v>97</v>
      </c>
      <c r="E1" s="6" t="s">
        <v>98</v>
      </c>
      <c r="I1" s="7">
        <v>2</v>
      </c>
    </row>
    <row r="2" spans="1:9">
      <c r="A2" s="5">
        <v>1</v>
      </c>
      <c r="B2" s="5" t="s">
        <v>99</v>
      </c>
      <c r="C2" s="5">
        <v>60</v>
      </c>
      <c r="D2" s="5">
        <v>20</v>
      </c>
      <c r="E2" s="5">
        <v>30</v>
      </c>
    </row>
    <row r="3" spans="1:9">
      <c r="A3" s="5">
        <v>2</v>
      </c>
      <c r="B3" s="5" t="s">
        <v>100</v>
      </c>
      <c r="C3" s="5">
        <v>60</v>
      </c>
      <c r="D3" s="5">
        <v>9</v>
      </c>
      <c r="E3" s="5">
        <v>30</v>
      </c>
    </row>
    <row r="4" spans="1:9">
      <c r="A4" s="5">
        <v>3</v>
      </c>
      <c r="B4" s="5" t="s">
        <v>101</v>
      </c>
      <c r="C4" s="5">
        <v>60</v>
      </c>
      <c r="D4" s="5">
        <v>6</v>
      </c>
      <c r="E4" s="5">
        <v>30</v>
      </c>
    </row>
    <row r="5" spans="1:9">
      <c r="A5" s="5">
        <v>4</v>
      </c>
      <c r="B5" s="5" t="s">
        <v>102</v>
      </c>
      <c r="C5" s="5">
        <v>20</v>
      </c>
      <c r="D5" s="5">
        <v>4</v>
      </c>
      <c r="E5" s="5">
        <v>20</v>
      </c>
    </row>
    <row r="6" spans="1:9">
      <c r="A6" s="5">
        <v>5</v>
      </c>
      <c r="B6" s="5" t="s">
        <v>103</v>
      </c>
      <c r="C6" s="5">
        <v>20</v>
      </c>
      <c r="D6" s="5">
        <v>20</v>
      </c>
      <c r="E6" s="5">
        <v>10</v>
      </c>
    </row>
    <row r="7" spans="1:9">
      <c r="A7" s="5">
        <v>6</v>
      </c>
      <c r="B7" s="5" t="s">
        <v>104</v>
      </c>
      <c r="C7" s="5">
        <v>60</v>
      </c>
      <c r="D7" s="5">
        <v>11</v>
      </c>
      <c r="E7" s="5">
        <v>20</v>
      </c>
    </row>
    <row r="8" spans="1:9">
      <c r="A8" s="5">
        <v>7</v>
      </c>
      <c r="B8" s="5" t="s">
        <v>105</v>
      </c>
      <c r="C8" s="5">
        <v>10</v>
      </c>
      <c r="D8" s="5" t="s">
        <v>106</v>
      </c>
      <c r="E8" s="5">
        <v>50</v>
      </c>
    </row>
    <row r="9" spans="1:9">
      <c r="A9" s="5">
        <v>8</v>
      </c>
      <c r="B9" s="5" t="s">
        <v>107</v>
      </c>
      <c r="C9" s="5">
        <v>30</v>
      </c>
      <c r="D9" s="5">
        <v>5</v>
      </c>
      <c r="E9" s="5">
        <v>10</v>
      </c>
    </row>
    <row r="10" spans="1:9">
      <c r="A10" s="5">
        <v>9</v>
      </c>
      <c r="B10" s="5" t="s">
        <v>108</v>
      </c>
      <c r="C10" s="5">
        <v>60</v>
      </c>
      <c r="D10" s="5">
        <v>4</v>
      </c>
      <c r="E10" s="5">
        <v>30</v>
      </c>
    </row>
    <row r="11" spans="1:9">
      <c r="A11" s="5">
        <v>10</v>
      </c>
      <c r="B11" s="5" t="s">
        <v>109</v>
      </c>
      <c r="C11" s="5">
        <v>60</v>
      </c>
      <c r="D11" s="5">
        <v>6</v>
      </c>
      <c r="E11" s="5">
        <v>30</v>
      </c>
    </row>
    <row r="12" spans="1:9">
      <c r="A12" s="5">
        <v>11</v>
      </c>
      <c r="B12" s="5" t="s">
        <v>110</v>
      </c>
      <c r="C12" s="5">
        <v>30</v>
      </c>
      <c r="D12" s="5">
        <v>5</v>
      </c>
      <c r="E12" s="5">
        <v>5</v>
      </c>
    </row>
    <row r="13" spans="1:9">
      <c r="A13" s="5">
        <v>12</v>
      </c>
      <c r="B13" s="5" t="s">
        <v>111</v>
      </c>
      <c r="C13" s="5">
        <v>60</v>
      </c>
      <c r="D13" s="5">
        <v>5</v>
      </c>
      <c r="E13" s="5">
        <v>10</v>
      </c>
    </row>
    <row r="14" spans="1:9">
      <c r="A14" s="5">
        <v>13</v>
      </c>
      <c r="B14" s="5" t="s">
        <v>112</v>
      </c>
      <c r="C14" s="5">
        <v>60</v>
      </c>
      <c r="D14" s="5">
        <v>5</v>
      </c>
      <c r="E14" s="5">
        <v>10</v>
      </c>
    </row>
    <row r="15" spans="1:9">
      <c r="A15" s="5">
        <v>14</v>
      </c>
      <c r="B15" s="5" t="s">
        <v>113</v>
      </c>
      <c r="C15" s="5">
        <v>60</v>
      </c>
      <c r="D15" s="5">
        <v>6</v>
      </c>
      <c r="E15" s="5">
        <v>30</v>
      </c>
    </row>
    <row r="16" spans="1:9">
      <c r="A16" s="5">
        <v>15</v>
      </c>
      <c r="B16" s="5" t="s">
        <v>114</v>
      </c>
      <c r="C16" s="5">
        <v>10</v>
      </c>
      <c r="D16" s="5" t="s">
        <v>106</v>
      </c>
      <c r="E16" s="5">
        <v>15</v>
      </c>
    </row>
    <row r="17" spans="1:5">
      <c r="A17" s="5">
        <v>16</v>
      </c>
      <c r="B17" s="5" t="s">
        <v>115</v>
      </c>
      <c r="C17" s="5">
        <v>20</v>
      </c>
      <c r="D17" s="5">
        <v>5</v>
      </c>
      <c r="E17" s="5">
        <v>10</v>
      </c>
    </row>
    <row r="18" spans="1:5">
      <c r="A18" s="5">
        <v>18</v>
      </c>
      <c r="B18" s="5" t="s">
        <v>116</v>
      </c>
      <c r="C18" s="5">
        <v>10</v>
      </c>
      <c r="D18" s="5" t="s">
        <v>143</v>
      </c>
      <c r="E18" s="5">
        <v>5</v>
      </c>
    </row>
    <row r="19" spans="1:5">
      <c r="A19" s="5">
        <v>19</v>
      </c>
      <c r="B19" s="5" t="s">
        <v>117</v>
      </c>
      <c r="C19" s="5">
        <v>60</v>
      </c>
      <c r="D19" s="5">
        <v>11</v>
      </c>
      <c r="E19" s="5">
        <v>30</v>
      </c>
    </row>
    <row r="20" spans="1:5">
      <c r="C20" s="5"/>
      <c r="D20" s="5"/>
    </row>
    <row r="21" spans="1:5">
      <c r="D21" s="5"/>
    </row>
    <row r="22" spans="1:5">
      <c r="D22" s="5"/>
      <c r="E22" s="5"/>
    </row>
    <row r="23" spans="1:5">
      <c r="D23" s="5"/>
    </row>
  </sheetData>
  <phoneticPr fontId="1" type="noConversion"/>
  <conditionalFormatting sqref="A1:E1048576">
    <cfRule type="expression" dxfId="1" priority="1">
      <formula>$A1&lt;&gt;""</formula>
    </cfRule>
  </conditionalFormatting>
  <dataValidations count="2">
    <dataValidation type="custom" allowBlank="1" showInputMessage="1" showErrorMessage="1" errorTitle="소요시간 오류" error="소요시간은 10~60으로 5단위 숫자만 가능합니다." sqref="C2:C1048576" xr:uid="{40B437BA-0413-4D23-A803-EAF95A1EBFBF}">
      <formula1>IF(AND(VALUE(C2)&gt;=10,VALUE(C2)&lt;=60,  MOD(C2,5) = 0),1,0)</formula1>
    </dataValidation>
    <dataValidation type="custom" allowBlank="1" showInputMessage="1" showErrorMessage="1" errorTitle="승리포인트 오류" error="승리포인트는 5~50으로 5단위 숫자만 가능합니다." sqref="E2:E1048576" xr:uid="{E44B4B1D-446F-46E9-8876-E9A55CDFDCCA}">
      <formula1>IF(AND(E2&gt;=5,E2&lt;=50,MOD(E2,5)=0),TRUE,FALSE)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Title="참가인원수 오류" error="참기인원수는 전체와 1~총인원수로 입력하세요." xr:uid="{7C327934-64E1-4069-9740-26053FCC11C8}">
          <x14:formula1>
            <xm:f>IF(OR(VALUE(D2)&gt;=1,D2="전체"),IF(D2&lt;VALUE(팀!O2),TRUE,FALSE),FALSE)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E3DD7-A065-4572-AB75-E1785537265F}">
  <sheetPr codeName="Sheet4"/>
  <dimension ref="A1:D13"/>
  <sheetViews>
    <sheetView workbookViewId="0">
      <selection activeCell="G22" sqref="G22"/>
    </sheetView>
  </sheetViews>
  <sheetFormatPr defaultRowHeight="16.5"/>
  <cols>
    <col min="1" max="2" width="9" style="9"/>
    <col min="3" max="4" width="42.875" style="9" bestFit="1" customWidth="1"/>
  </cols>
  <sheetData>
    <row r="1" spans="1:4">
      <c r="A1" s="8" t="s">
        <v>94</v>
      </c>
      <c r="B1" s="8" t="s">
        <v>118</v>
      </c>
      <c r="C1" s="8" t="s">
        <v>119</v>
      </c>
      <c r="D1" s="8" t="s">
        <v>120</v>
      </c>
    </row>
    <row r="2" spans="1:4">
      <c r="A2" s="9">
        <v>1</v>
      </c>
      <c r="B2" s="9">
        <v>1</v>
      </c>
      <c r="C2" s="9" t="s">
        <v>121</v>
      </c>
      <c r="D2" s="9" t="s">
        <v>121</v>
      </c>
    </row>
    <row r="3" spans="1:4">
      <c r="A3" s="9">
        <v>2</v>
      </c>
      <c r="B3" s="9">
        <v>4</v>
      </c>
      <c r="C3" s="9" t="s">
        <v>122</v>
      </c>
      <c r="D3" s="9" t="s">
        <v>123</v>
      </c>
    </row>
    <row r="4" spans="1:4">
      <c r="A4" s="9">
        <v>3</v>
      </c>
      <c r="B4" s="9">
        <v>3</v>
      </c>
      <c r="C4" s="9" t="s">
        <v>124</v>
      </c>
      <c r="D4" s="9" t="s">
        <v>125</v>
      </c>
    </row>
    <row r="5" spans="1:4">
      <c r="A5" s="9">
        <v>4</v>
      </c>
      <c r="B5" s="9">
        <v>11</v>
      </c>
      <c r="C5" s="9" t="s">
        <v>126</v>
      </c>
      <c r="D5" s="9" t="s">
        <v>127</v>
      </c>
    </row>
    <row r="6" spans="1:4">
      <c r="A6" s="9">
        <v>5</v>
      </c>
      <c r="B6" s="9">
        <v>9</v>
      </c>
      <c r="C6" s="9" t="s">
        <v>128</v>
      </c>
      <c r="D6" s="9" t="s">
        <v>129</v>
      </c>
    </row>
    <row r="7" spans="1:4">
      <c r="A7" s="9">
        <v>6</v>
      </c>
      <c r="B7" s="9">
        <v>15</v>
      </c>
      <c r="C7" s="9" t="s">
        <v>106</v>
      </c>
      <c r="D7" s="9" t="s">
        <v>106</v>
      </c>
    </row>
    <row r="8" spans="1:4">
      <c r="A8" s="9">
        <v>7</v>
      </c>
      <c r="B8" s="9">
        <v>19</v>
      </c>
      <c r="C8" s="9" t="s">
        <v>130</v>
      </c>
      <c r="D8" s="9" t="s">
        <v>131</v>
      </c>
    </row>
    <row r="9" spans="1:4">
      <c r="A9" s="9">
        <v>8</v>
      </c>
      <c r="B9" s="9">
        <v>8</v>
      </c>
      <c r="C9" s="9" t="s">
        <v>132</v>
      </c>
      <c r="D9" s="9" t="s">
        <v>133</v>
      </c>
    </row>
    <row r="10" spans="1:4">
      <c r="A10" s="9">
        <v>9</v>
      </c>
      <c r="B10" s="9">
        <v>14</v>
      </c>
      <c r="C10" s="9" t="s">
        <v>134</v>
      </c>
      <c r="D10" s="9" t="s">
        <v>135</v>
      </c>
    </row>
    <row r="11" spans="1:4">
      <c r="A11" s="9">
        <v>10</v>
      </c>
      <c r="B11" s="9">
        <v>13</v>
      </c>
      <c r="C11" s="9" t="s">
        <v>136</v>
      </c>
      <c r="D11" s="9" t="s">
        <v>137</v>
      </c>
    </row>
    <row r="12" spans="1:4">
      <c r="A12" s="9">
        <v>11</v>
      </c>
      <c r="B12" s="9">
        <v>10</v>
      </c>
      <c r="C12" s="9" t="s">
        <v>138</v>
      </c>
      <c r="D12" s="9" t="s">
        <v>139</v>
      </c>
    </row>
    <row r="13" spans="1:4">
      <c r="A13" s="9">
        <v>12</v>
      </c>
      <c r="B13" s="9">
        <v>2</v>
      </c>
      <c r="C13" s="9" t="s">
        <v>140</v>
      </c>
      <c r="D13" s="9" t="s">
        <v>140</v>
      </c>
    </row>
  </sheetData>
  <phoneticPr fontId="1" type="noConversion"/>
  <conditionalFormatting sqref="A1:D1048576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261C-0A14-4CB5-9734-14809DCCC585}">
  <sheetPr codeName="Sheet6"/>
  <dimension ref="A1"/>
  <sheetViews>
    <sheetView workbookViewId="0">
      <selection activeCell="A24" sqref="A24:A27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6</vt:i4>
      </vt:variant>
    </vt:vector>
  </HeadingPairs>
  <TitlesOfParts>
    <vt:vector size="11" baseType="lpstr">
      <vt:lpstr>Main</vt:lpstr>
      <vt:lpstr>팀</vt:lpstr>
      <vt:lpstr>종목</vt:lpstr>
      <vt:lpstr>참가선수</vt:lpstr>
      <vt:lpstr>경기현황</vt:lpstr>
      <vt:lpstr>동팀대표</vt:lpstr>
      <vt:lpstr>로그인여부</vt:lpstr>
      <vt:lpstr>서팀대표</vt:lpstr>
      <vt:lpstr>선택행</vt:lpstr>
      <vt:lpstr>유저번호</vt:lpstr>
      <vt:lpstr>유저이름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2021-03-10T11:50:01Z</dcterms:created>
  <dcterms:modified xsi:type="dcterms:W3CDTF">2021-03-13T00:07:40Z</dcterms:modified>
</cp:coreProperties>
</file>