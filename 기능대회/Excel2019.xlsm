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9.xml" ContentType="application/vnd.ms-office.activeX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0.xml" ContentType="application/vnd.ms-office.activeX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8_{42232575-0607-42BB-B420-51A698E91A43}" xr6:coauthVersionLast="45" xr6:coauthVersionMax="45" xr10:uidLastSave="{00000000-0000-0000-0000-000000000000}"/>
  <bookViews>
    <workbookView xWindow="28680" yWindow="-60" windowWidth="29040" windowHeight="15840" xr2:uid="{00000000-000D-0000-FFFF-FFFF00000000}"/>
  </bookViews>
  <sheets>
    <sheet name="메인 화면" sheetId="1" r:id="rId1"/>
    <sheet name="구장정보" sheetId="2" r:id="rId2"/>
    <sheet name="회원정보" sheetId="3" r:id="rId3"/>
    <sheet name="경기 일정" sheetId="4" r:id="rId4"/>
    <sheet name="경기 기록" sheetId="5" r:id="rId5"/>
    <sheet name="결제정보" sheetId="6" r:id="rId6"/>
    <sheet name="순위" sheetId="7" r:id="rId7"/>
    <sheet name="Sheet1" sheetId="11" r:id="rId8"/>
    <sheet name="흥행" sheetId="8" r:id="rId9"/>
    <sheet name="예매정보" sheetId="9" state="hidden" r:id="rId10"/>
    <sheet name="티켓" sheetId="10" state="hidden" r:id="rId11"/>
  </sheets>
  <definedNames>
    <definedName name="_xlnm._FilterDatabase" localSheetId="3" hidden="1">'경기 일정'!$A$1:$F$166</definedName>
    <definedName name="_xlnm._FilterDatabase" localSheetId="6" hidden="1">순위!$A$2:$F$11</definedName>
    <definedName name="_xlnm.Criteria" localSheetId="9">예매정보!$H$1:$I$3</definedName>
    <definedName name="_xlnm.Extract" localSheetId="9">예매정보!$A$1:$F$1</definedName>
  </definedNames>
  <calcPr calcId="191029"/>
  <pivotCaches>
    <pivotCache cacheId="0" r:id="rId12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7" l="1"/>
  <c r="D3" i="7"/>
  <c r="D10" i="7"/>
  <c r="D11" i="7"/>
  <c r="K6" i="6" a="1"/>
  <c r="K30" i="6" a="1"/>
  <c r="K28" i="6" a="1"/>
  <c r="K23" i="6" a="1"/>
  <c r="K3" i="6" a="1"/>
  <c r="K7" i="6" a="1"/>
  <c r="K11" i="6" a="1"/>
  <c r="K15" i="6" a="1"/>
  <c r="K19" i="6" a="1"/>
  <c r="K27" i="6" a="1"/>
  <c r="K31" i="6" a="1"/>
  <c r="K8" i="6" a="1"/>
  <c r="K12" i="6" a="1"/>
  <c r="K20" i="6" a="1"/>
  <c r="K32" i="6" a="1"/>
  <c r="K4" i="6" a="1"/>
  <c r="K16" i="6" a="1"/>
  <c r="K24" i="6" a="1"/>
  <c r="K36" i="6" a="1"/>
  <c r="K25" i="6" a="1"/>
  <c r="K5" i="6" a="1"/>
  <c r="K9" i="6" a="1"/>
  <c r="K13" i="6" a="1"/>
  <c r="K17" i="6" a="1"/>
  <c r="K21" i="6" a="1"/>
  <c r="K29" i="6" a="1"/>
  <c r="K33" i="6" a="1"/>
  <c r="K37" i="6" a="1"/>
  <c r="K2" i="6" a="1"/>
  <c r="K10" i="6" a="1"/>
  <c r="K14" i="6" a="1"/>
  <c r="K18" i="6" a="1"/>
  <c r="K22" i="6" a="1"/>
  <c r="K26" i="6" a="1"/>
  <c r="K34" i="6" a="1"/>
  <c r="K35" i="6" a="1"/>
  <c r="K35" i="6" l="1"/>
  <c r="K34" i="6"/>
  <c r="K26" i="6"/>
  <c r="K22" i="6"/>
  <c r="K18" i="6"/>
  <c r="K14" i="6"/>
  <c r="K10" i="6"/>
  <c r="K2" i="6"/>
  <c r="K37" i="6"/>
  <c r="K33" i="6"/>
  <c r="K29" i="6"/>
  <c r="K21" i="6"/>
  <c r="K17" i="6"/>
  <c r="K13" i="6"/>
  <c r="K9" i="6"/>
  <c r="K5" i="6"/>
  <c r="K25" i="6"/>
  <c r="K36" i="6"/>
  <c r="K24" i="6"/>
  <c r="K16" i="6"/>
  <c r="K4" i="6"/>
  <c r="K32" i="6"/>
  <c r="K20" i="6"/>
  <c r="K12" i="6"/>
  <c r="K8" i="6"/>
  <c r="K31" i="6"/>
  <c r="K27" i="6"/>
  <c r="K19" i="6"/>
  <c r="K15" i="6"/>
  <c r="K11" i="6"/>
  <c r="K7" i="6"/>
  <c r="K3" i="6"/>
  <c r="K23" i="6"/>
  <c r="K28" i="6"/>
  <c r="K30" i="6"/>
  <c r="K6" i="6"/>
  <c r="B11" i="7"/>
  <c r="B3" i="7"/>
  <c r="B4" i="7"/>
  <c r="B5" i="7"/>
  <c r="B6" i="7"/>
  <c r="B7" i="7"/>
  <c r="B8" i="7"/>
  <c r="B9" i="7"/>
  <c r="B10" i="7"/>
  <c r="B2" i="7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2" i="6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2" i="5"/>
  <c r="M8" i="7" s="1" a="1"/>
  <c r="M8" i="7" s="1"/>
  <c r="K8" i="7" l="1" a="1"/>
  <c r="K8" i="7" s="1"/>
  <c r="C3" i="7" s="1"/>
  <c r="D9" i="7"/>
  <c r="K9" i="7" a="1"/>
  <c r="K9" i="7" s="1"/>
  <c r="D4" i="7"/>
  <c r="M12" i="7" a="1"/>
  <c r="M12" i="7" s="1"/>
  <c r="E8" i="7" s="1"/>
  <c r="K12" i="7" a="1"/>
  <c r="K12" i="7" s="1"/>
  <c r="D8" i="7"/>
  <c r="D7" i="7"/>
  <c r="M13" i="7" a="1"/>
  <c r="M13" i="7" s="1"/>
  <c r="M15" i="7" a="1"/>
  <c r="M15" i="7" s="1"/>
  <c r="D6" i="7"/>
  <c r="K13" i="7" a="1"/>
  <c r="K13" i="7" s="1"/>
  <c r="D5" i="7"/>
  <c r="F7" i="4" a="1"/>
  <c r="F7" i="4" s="1"/>
  <c r="F162" i="4" a="1"/>
  <c r="F162" i="4" s="1"/>
  <c r="F161" i="4" a="1"/>
  <c r="F161" i="4" s="1"/>
  <c r="F164" i="4" a="1"/>
  <c r="F164" i="4" s="1"/>
  <c r="F136" i="4" a="1"/>
  <c r="F136" i="4" s="1"/>
  <c r="F166" i="4" a="1"/>
  <c r="F166" i="4" s="1"/>
  <c r="F150" i="4" a="1"/>
  <c r="F150" i="4" s="1"/>
  <c r="F142" i="4" a="1"/>
  <c r="F142" i="4" s="1"/>
  <c r="F126" i="4" a="1"/>
  <c r="F126" i="4" s="1"/>
  <c r="F110" i="4" a="1"/>
  <c r="F110" i="4" s="1"/>
  <c r="F98" i="4" a="1"/>
  <c r="F98" i="4" s="1"/>
  <c r="F86" i="4" a="1"/>
  <c r="F86" i="4" s="1"/>
  <c r="F70" i="4" a="1"/>
  <c r="F70" i="4" s="1"/>
  <c r="F54" i="4" a="1"/>
  <c r="F54" i="4" s="1"/>
  <c r="F50" i="4" a="1"/>
  <c r="F50" i="4" s="1"/>
  <c r="F46" i="4" a="1"/>
  <c r="F46" i="4" s="1"/>
  <c r="F42" i="4" a="1"/>
  <c r="F42" i="4" s="1"/>
  <c r="F38" i="4" a="1"/>
  <c r="F38" i="4" s="1"/>
  <c r="F34" i="4" a="1"/>
  <c r="F34" i="4" s="1"/>
  <c r="F30" i="4" a="1"/>
  <c r="F30" i="4" s="1"/>
  <c r="F26" i="4" a="1"/>
  <c r="F26" i="4" s="1"/>
  <c r="F22" i="4" a="1"/>
  <c r="F22" i="4" s="1"/>
  <c r="F18" i="4" a="1"/>
  <c r="F18" i="4" s="1"/>
  <c r="F14" i="4" a="1"/>
  <c r="F14" i="4" s="1"/>
  <c r="F10" i="4" a="1"/>
  <c r="F10" i="4" s="1"/>
  <c r="F6" i="4" a="1"/>
  <c r="F6" i="4" s="1"/>
  <c r="F158" i="4" a="1"/>
  <c r="F158" i="4" s="1"/>
  <c r="F74" i="4" a="1"/>
  <c r="F74" i="4" s="1"/>
  <c r="F58" i="4" a="1"/>
  <c r="F58" i="4" s="1"/>
  <c r="F157" i="4" a="1"/>
  <c r="F157" i="4" s="1"/>
  <c r="F153" i="4" a="1"/>
  <c r="F153" i="4" s="1"/>
  <c r="F149" i="4" a="1"/>
  <c r="F149" i="4" s="1"/>
  <c r="F145" i="4" a="1"/>
  <c r="F145" i="4" s="1"/>
  <c r="F141" i="4" a="1"/>
  <c r="F141" i="4" s="1"/>
  <c r="F137" i="4" a="1"/>
  <c r="F137" i="4" s="1"/>
  <c r="F133" i="4" a="1"/>
  <c r="F133" i="4" s="1"/>
  <c r="F129" i="4" a="1"/>
  <c r="F129" i="4" s="1"/>
  <c r="F125" i="4" a="1"/>
  <c r="F125" i="4" s="1"/>
  <c r="F121" i="4" a="1"/>
  <c r="F121" i="4" s="1"/>
  <c r="F117" i="4" a="1"/>
  <c r="F117" i="4" s="1"/>
  <c r="F113" i="4" a="1"/>
  <c r="F113" i="4" s="1"/>
  <c r="F109" i="4" a="1"/>
  <c r="F109" i="4" s="1"/>
  <c r="F105" i="4" a="1"/>
  <c r="F105" i="4" s="1"/>
  <c r="F101" i="4" a="1"/>
  <c r="F101" i="4" s="1"/>
  <c r="F97" i="4" a="1"/>
  <c r="F97" i="4" s="1"/>
  <c r="F93" i="4" a="1"/>
  <c r="F93" i="4" s="1"/>
  <c r="F89" i="4" a="1"/>
  <c r="F89" i="4" s="1"/>
  <c r="F85" i="4" a="1"/>
  <c r="F85" i="4" s="1"/>
  <c r="F81" i="4" a="1"/>
  <c r="F81" i="4" s="1"/>
  <c r="F77" i="4" a="1"/>
  <c r="F77" i="4" s="1"/>
  <c r="F73" i="4" a="1"/>
  <c r="F73" i="4" s="1"/>
  <c r="F69" i="4" a="1"/>
  <c r="F69" i="4" s="1"/>
  <c r="F65" i="4" a="1"/>
  <c r="F65" i="4" s="1"/>
  <c r="F61" i="4" a="1"/>
  <c r="F61" i="4" s="1"/>
  <c r="F57" i="4" a="1"/>
  <c r="F57" i="4" s="1"/>
  <c r="F53" i="4" a="1"/>
  <c r="F53" i="4" s="1"/>
  <c r="F49" i="4" a="1"/>
  <c r="F49" i="4" s="1"/>
  <c r="F45" i="4" a="1"/>
  <c r="F45" i="4" s="1"/>
  <c r="F41" i="4" a="1"/>
  <c r="F41" i="4" s="1"/>
  <c r="F37" i="4" a="1"/>
  <c r="F37" i="4" s="1"/>
  <c r="F33" i="4" a="1"/>
  <c r="F33" i="4" s="1"/>
  <c r="F29" i="4" a="1"/>
  <c r="F29" i="4" s="1"/>
  <c r="F25" i="4" a="1"/>
  <c r="F25" i="4" s="1"/>
  <c r="F21" i="4" a="1"/>
  <c r="F21" i="4" s="1"/>
  <c r="F17" i="4" a="1"/>
  <c r="F17" i="4" s="1"/>
  <c r="F13" i="4" a="1"/>
  <c r="F13" i="4" s="1"/>
  <c r="F9" i="4" a="1"/>
  <c r="F9" i="4" s="1"/>
  <c r="F138" i="4" a="1"/>
  <c r="F138" i="4" s="1"/>
  <c r="F130" i="4" a="1"/>
  <c r="F130" i="4" s="1"/>
  <c r="F118" i="4" a="1"/>
  <c r="F118" i="4" s="1"/>
  <c r="F106" i="4" a="1"/>
  <c r="F106" i="4" s="1"/>
  <c r="F94" i="4" a="1"/>
  <c r="F94" i="4" s="1"/>
  <c r="F82" i="4" a="1"/>
  <c r="F82" i="4" s="1"/>
  <c r="F66" i="4" a="1"/>
  <c r="F66" i="4" s="1"/>
  <c r="F165" i="4" a="1"/>
  <c r="F165" i="4" s="1"/>
  <c r="F156" i="4" a="1"/>
  <c r="F156" i="4" s="1"/>
  <c r="F148" i="4" a="1"/>
  <c r="F148" i="4" s="1"/>
  <c r="F140" i="4" a="1"/>
  <c r="F140" i="4" s="1"/>
  <c r="F132" i="4" a="1"/>
  <c r="F132" i="4" s="1"/>
  <c r="F128" i="4" a="1"/>
  <c r="F128" i="4" s="1"/>
  <c r="F124" i="4" a="1"/>
  <c r="F124" i="4" s="1"/>
  <c r="F120" i="4" a="1"/>
  <c r="F120" i="4" s="1"/>
  <c r="F116" i="4" a="1"/>
  <c r="F116" i="4" s="1"/>
  <c r="F112" i="4" a="1"/>
  <c r="F112" i="4" s="1"/>
  <c r="F108" i="4" a="1"/>
  <c r="F108" i="4" s="1"/>
  <c r="F104" i="4" a="1"/>
  <c r="F104" i="4" s="1"/>
  <c r="F100" i="4" a="1"/>
  <c r="F100" i="4" s="1"/>
  <c r="F96" i="4" a="1"/>
  <c r="F96" i="4" s="1"/>
  <c r="F92" i="4" a="1"/>
  <c r="F92" i="4" s="1"/>
  <c r="F88" i="4" a="1"/>
  <c r="F88" i="4" s="1"/>
  <c r="F84" i="4" a="1"/>
  <c r="F84" i="4" s="1"/>
  <c r="F80" i="4" a="1"/>
  <c r="F80" i="4" s="1"/>
  <c r="F76" i="4" a="1"/>
  <c r="F76" i="4" s="1"/>
  <c r="F72" i="4" a="1"/>
  <c r="F72" i="4" s="1"/>
  <c r="F68" i="4" a="1"/>
  <c r="F68" i="4" s="1"/>
  <c r="F64" i="4" a="1"/>
  <c r="F64" i="4" s="1"/>
  <c r="F60" i="4" a="1"/>
  <c r="F60" i="4" s="1"/>
  <c r="F56" i="4" a="1"/>
  <c r="F56" i="4" s="1"/>
  <c r="F52" i="4" a="1"/>
  <c r="F52" i="4" s="1"/>
  <c r="F48" i="4" a="1"/>
  <c r="F48" i="4" s="1"/>
  <c r="F44" i="4" a="1"/>
  <c r="F44" i="4" s="1"/>
  <c r="F40" i="4" a="1"/>
  <c r="F40" i="4" s="1"/>
  <c r="F36" i="4" a="1"/>
  <c r="F36" i="4" s="1"/>
  <c r="F32" i="4" a="1"/>
  <c r="F32" i="4" s="1"/>
  <c r="F28" i="4" a="1"/>
  <c r="F28" i="4" s="1"/>
  <c r="F24" i="4" a="1"/>
  <c r="F24" i="4" s="1"/>
  <c r="F20" i="4" a="1"/>
  <c r="F20" i="4" s="1"/>
  <c r="F16" i="4" a="1"/>
  <c r="F16" i="4" s="1"/>
  <c r="F12" i="4" a="1"/>
  <c r="F12" i="4" s="1"/>
  <c r="F8" i="4" a="1"/>
  <c r="F8" i="4" s="1"/>
  <c r="F4" i="4" a="1"/>
  <c r="F4" i="4" s="1"/>
  <c r="F154" i="4" a="1"/>
  <c r="F154" i="4" s="1"/>
  <c r="F146" i="4" a="1"/>
  <c r="F146" i="4" s="1"/>
  <c r="F134" i="4" a="1"/>
  <c r="F134" i="4" s="1"/>
  <c r="F122" i="4" a="1"/>
  <c r="F122" i="4" s="1"/>
  <c r="F114" i="4" a="1"/>
  <c r="F114" i="4" s="1"/>
  <c r="F102" i="4" a="1"/>
  <c r="F102" i="4" s="1"/>
  <c r="F90" i="4" a="1"/>
  <c r="F90" i="4" s="1"/>
  <c r="F78" i="4" a="1"/>
  <c r="F78" i="4" s="1"/>
  <c r="F62" i="4" a="1"/>
  <c r="F62" i="4" s="1"/>
  <c r="F160" i="4" a="1"/>
  <c r="F160" i="4" s="1"/>
  <c r="F152" i="4" a="1"/>
  <c r="F152" i="4" s="1"/>
  <c r="F144" i="4" a="1"/>
  <c r="F144" i="4" s="1"/>
  <c r="F2" i="4" a="1"/>
  <c r="F2" i="4" s="1"/>
  <c r="F163" i="4" a="1"/>
  <c r="F163" i="4" s="1"/>
  <c r="F159" i="4" a="1"/>
  <c r="F159" i="4" s="1"/>
  <c r="F155" i="4" a="1"/>
  <c r="F155" i="4" s="1"/>
  <c r="F151" i="4" a="1"/>
  <c r="F151" i="4" s="1"/>
  <c r="F147" i="4" a="1"/>
  <c r="F147" i="4" s="1"/>
  <c r="F143" i="4" a="1"/>
  <c r="F143" i="4" s="1"/>
  <c r="F139" i="4" a="1"/>
  <c r="F139" i="4" s="1"/>
  <c r="F135" i="4" a="1"/>
  <c r="F135" i="4" s="1"/>
  <c r="F131" i="4" a="1"/>
  <c r="F131" i="4" s="1"/>
  <c r="F127" i="4" a="1"/>
  <c r="F127" i="4" s="1"/>
  <c r="F123" i="4" a="1"/>
  <c r="F123" i="4" s="1"/>
  <c r="F119" i="4" a="1"/>
  <c r="F119" i="4" s="1"/>
  <c r="F115" i="4" a="1"/>
  <c r="F115" i="4" s="1"/>
  <c r="F111" i="4" a="1"/>
  <c r="F111" i="4" s="1"/>
  <c r="F107" i="4" a="1"/>
  <c r="F107" i="4" s="1"/>
  <c r="F103" i="4" a="1"/>
  <c r="F103" i="4" s="1"/>
  <c r="F99" i="4" a="1"/>
  <c r="F99" i="4" s="1"/>
  <c r="F95" i="4" a="1"/>
  <c r="F95" i="4" s="1"/>
  <c r="F91" i="4" a="1"/>
  <c r="F91" i="4" s="1"/>
  <c r="F87" i="4" a="1"/>
  <c r="F87" i="4" s="1"/>
  <c r="F83" i="4" a="1"/>
  <c r="F83" i="4" s="1"/>
  <c r="F79" i="4" a="1"/>
  <c r="F79" i="4" s="1"/>
  <c r="F75" i="4" a="1"/>
  <c r="F75" i="4" s="1"/>
  <c r="F71" i="4" a="1"/>
  <c r="F71" i="4" s="1"/>
  <c r="F67" i="4" a="1"/>
  <c r="F67" i="4" s="1"/>
  <c r="F63" i="4" a="1"/>
  <c r="F63" i="4" s="1"/>
  <c r="F59" i="4" a="1"/>
  <c r="F59" i="4" s="1"/>
  <c r="F55" i="4" a="1"/>
  <c r="F55" i="4" s="1"/>
  <c r="F51" i="4" a="1"/>
  <c r="F51" i="4" s="1"/>
  <c r="F47" i="4" a="1"/>
  <c r="F47" i="4" s="1"/>
  <c r="F43" i="4" a="1"/>
  <c r="F43" i="4" s="1"/>
  <c r="F39" i="4" a="1"/>
  <c r="F39" i="4" s="1"/>
  <c r="F35" i="4" a="1"/>
  <c r="F35" i="4" s="1"/>
  <c r="F31" i="4" a="1"/>
  <c r="F31" i="4" s="1"/>
  <c r="F27" i="4" a="1"/>
  <c r="F27" i="4" s="1"/>
  <c r="F23" i="4" a="1"/>
  <c r="F23" i="4" s="1"/>
  <c r="F19" i="4" a="1"/>
  <c r="F19" i="4" s="1"/>
  <c r="F15" i="4" a="1"/>
  <c r="F15" i="4" s="1"/>
  <c r="F11" i="4" a="1"/>
  <c r="F11" i="4" s="1"/>
  <c r="F3" i="4" a="1"/>
  <c r="F3" i="4" s="1"/>
  <c r="F5" i="4" a="1"/>
  <c r="F5" i="4" s="1"/>
  <c r="N6" i="7"/>
  <c r="F2" i="7" s="1"/>
  <c r="C8" i="7" l="1"/>
  <c r="C7" i="7"/>
  <c r="C6" i="7"/>
  <c r="C11" i="7"/>
  <c r="E10" i="7"/>
  <c r="E11" i="7"/>
  <c r="E9" i="7"/>
  <c r="E6" i="7"/>
  <c r="C5" i="7"/>
  <c r="C10" i="7"/>
  <c r="E5" i="7"/>
  <c r="E7" i="7"/>
  <c r="E4" i="7"/>
  <c r="C4" i="7"/>
  <c r="N8" i="7"/>
  <c r="N7" i="7"/>
  <c r="N15" i="7"/>
  <c r="N12" i="7"/>
  <c r="N13" i="7"/>
  <c r="C9" i="7"/>
  <c r="N10" i="7"/>
  <c r="N11" i="7"/>
  <c r="N14" i="7"/>
  <c r="N9" i="7"/>
  <c r="F8" i="7" l="1"/>
  <c r="F5" i="7"/>
  <c r="F4" i="7"/>
  <c r="F11" i="7"/>
  <c r="F9" i="7"/>
  <c r="F6" i="7"/>
  <c r="F10" i="7"/>
  <c r="F7" i="7"/>
  <c r="F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<sst xmlns="http://schemas.openxmlformats.org/spreadsheetml/2006/main" count="1569" uniqueCount="340">
  <si>
    <t>구장</t>
  </si>
  <si>
    <t>구장</t>
    <phoneticPr fontId="3" type="noConversion"/>
  </si>
  <si>
    <t>익사이팅존</t>
  </si>
  <si>
    <t>익사이팅존</t>
    <phoneticPr fontId="3" type="noConversion"/>
  </si>
  <si>
    <t>S</t>
  </si>
  <si>
    <t>S</t>
    <phoneticPr fontId="3" type="noConversion"/>
  </si>
  <si>
    <t>A</t>
  </si>
  <si>
    <t>A</t>
    <phoneticPr fontId="3" type="noConversion"/>
  </si>
  <si>
    <t>자유석</t>
  </si>
  <si>
    <t>자유석</t>
    <phoneticPr fontId="3" type="noConversion"/>
  </si>
  <si>
    <t>구분</t>
    <phoneticPr fontId="3" type="noConversion"/>
  </si>
  <si>
    <t>익사이팅존</t>
    <phoneticPr fontId="3" type="noConversion"/>
  </si>
  <si>
    <t>S</t>
    <phoneticPr fontId="3" type="noConversion"/>
  </si>
  <si>
    <t>최대 수용인원 수</t>
    <phoneticPr fontId="3" type="noConversion"/>
  </si>
  <si>
    <t>부산 사직 야구장</t>
  </si>
  <si>
    <t>부산 사직 야구장</t>
    <phoneticPr fontId="3" type="noConversion"/>
  </si>
  <si>
    <t>고척 스카이돔</t>
  </si>
  <si>
    <t>고척 스카이돔</t>
    <phoneticPr fontId="3" type="noConversion"/>
  </si>
  <si>
    <t>대구 삼성 라이온즈 파크</t>
  </si>
  <si>
    <t>대구 삼성 라이온즈 파크</t>
    <phoneticPr fontId="3" type="noConversion"/>
  </si>
  <si>
    <t>광주 기아 챔피언스 필드</t>
  </si>
  <si>
    <t>광주 기아 챔피언스 필드</t>
    <phoneticPr fontId="3" type="noConversion"/>
  </si>
  <si>
    <t>마산 종합운동장 야구장</t>
  </si>
  <si>
    <t>마산 종합운동장 야구장</t>
    <phoneticPr fontId="3" type="noConversion"/>
  </si>
  <si>
    <t>대전 한화생명 이글스파크</t>
  </si>
  <si>
    <t>대전 한화생명 이글스파크</t>
    <phoneticPr fontId="3" type="noConversion"/>
  </si>
  <si>
    <t>서울 잠실 야구장</t>
  </si>
  <si>
    <t>서울 잠실 야구장</t>
    <phoneticPr fontId="3" type="noConversion"/>
  </si>
  <si>
    <t>수원 KT 위즈 파크</t>
  </si>
  <si>
    <t>수원 KT 위즈 파크</t>
    <phoneticPr fontId="3" type="noConversion"/>
  </si>
  <si>
    <t>인천 SK 행복드림구장</t>
  </si>
  <si>
    <t>인천 SK 행복드림구장</t>
    <phoneticPr fontId="3" type="noConversion"/>
  </si>
  <si>
    <t>어른</t>
  </si>
  <si>
    <t>어른</t>
    <phoneticPr fontId="3" type="noConversion"/>
  </si>
  <si>
    <t>청소년</t>
  </si>
  <si>
    <t>청소년</t>
    <phoneticPr fontId="3" type="noConversion"/>
  </si>
  <si>
    <t>어린이</t>
  </si>
  <si>
    <t>어린이</t>
    <phoneticPr fontId="3" type="noConversion"/>
  </si>
  <si>
    <t>유아</t>
  </si>
  <si>
    <t>유아</t>
    <phoneticPr fontId="3" type="noConversion"/>
  </si>
  <si>
    <t>번호</t>
  </si>
  <si>
    <t>이름</t>
  </si>
  <si>
    <t>아이디</t>
  </si>
  <si>
    <t>비밀번호</t>
  </si>
  <si>
    <t>생년월일</t>
  </si>
  <si>
    <t>전화번호</t>
  </si>
  <si>
    <t>이메일</t>
  </si>
  <si>
    <t>이혜진</t>
  </si>
  <si>
    <t>sik730</t>
  </si>
  <si>
    <t>최옥분</t>
  </si>
  <si>
    <t>vtx988</t>
  </si>
  <si>
    <t>vtx&amp;988</t>
  </si>
  <si>
    <t>010-1065-6761</t>
  </si>
  <si>
    <t>vtx988@gmail.com</t>
  </si>
  <si>
    <t>이미기</t>
  </si>
  <si>
    <t>kzc113</t>
  </si>
  <si>
    <t>kzc#113</t>
  </si>
  <si>
    <t>010-1415-0121</t>
  </si>
  <si>
    <t>kzc113@naver.com</t>
  </si>
  <si>
    <t>김민준</t>
  </si>
  <si>
    <t>vmh551</t>
  </si>
  <si>
    <t>vmh&amp;551</t>
  </si>
  <si>
    <t>010-1417-6431</t>
  </si>
  <si>
    <t>vmh551@naver.com</t>
  </si>
  <si>
    <t>박미리</t>
  </si>
  <si>
    <t>wcb078</t>
  </si>
  <si>
    <t>wcb!078</t>
  </si>
  <si>
    <t>010-1520-1571</t>
  </si>
  <si>
    <t>wcb078@gmail.com</t>
  </si>
  <si>
    <t>조영희</t>
  </si>
  <si>
    <t>uqx493</t>
  </si>
  <si>
    <t>uqx@493</t>
  </si>
  <si>
    <t>010-1575-4577</t>
  </si>
  <si>
    <t>uqx493@gmail.com</t>
  </si>
  <si>
    <t>최애선</t>
  </si>
  <si>
    <t>aor855</t>
  </si>
  <si>
    <t>aor!855</t>
  </si>
  <si>
    <t>010-1610-3665</t>
  </si>
  <si>
    <t>aor855@gmail.com</t>
  </si>
  <si>
    <t>박유진</t>
  </si>
  <si>
    <t>rmq016</t>
  </si>
  <si>
    <t>rmq#016</t>
  </si>
  <si>
    <t>010-1757-4404</t>
  </si>
  <si>
    <t>rmq016@abc.com</t>
  </si>
  <si>
    <t>김소영</t>
  </si>
  <si>
    <t>fjo096</t>
  </si>
  <si>
    <t>fjo&amp;096</t>
  </si>
  <si>
    <t>010-1997-9420</t>
  </si>
  <si>
    <t>fjo096@gmail.com</t>
  </si>
  <si>
    <t>심향숙</t>
  </si>
  <si>
    <t>bfv306</t>
  </si>
  <si>
    <t>bfv&amp;306</t>
  </si>
  <si>
    <t>010-2097-4556</t>
  </si>
  <si>
    <t>bfv306@hanmail.net</t>
  </si>
  <si>
    <t>민혜원</t>
  </si>
  <si>
    <t>ebs459</t>
  </si>
  <si>
    <t>ebs@459</t>
  </si>
  <si>
    <t>010-2556-2609</t>
  </si>
  <si>
    <t>ebs459@hanmail.net</t>
  </si>
  <si>
    <t>홍효진</t>
  </si>
  <si>
    <t>ojb008</t>
  </si>
  <si>
    <t>ojb#008</t>
  </si>
  <si>
    <t>010-2570-1624</t>
  </si>
  <si>
    <t>ojb008@hanmail.net</t>
  </si>
  <si>
    <t>천보라</t>
  </si>
  <si>
    <t>nak922</t>
  </si>
  <si>
    <t>nak@922</t>
  </si>
  <si>
    <t>010-3170-3426</t>
  </si>
  <si>
    <t>nak922@hanmail.net</t>
  </si>
  <si>
    <t>김구슬</t>
  </si>
  <si>
    <t>wmt484</t>
  </si>
  <si>
    <t>wmt@484</t>
  </si>
  <si>
    <t>010-3908-4936</t>
  </si>
  <si>
    <t>wmt484@abc.com</t>
  </si>
  <si>
    <t>이희승</t>
  </si>
  <si>
    <t>eku370</t>
  </si>
  <si>
    <t>eku@370</t>
  </si>
  <si>
    <t>010-4003-6955</t>
  </si>
  <si>
    <t>eku370@gmail.com</t>
  </si>
  <si>
    <t>양미희</t>
  </si>
  <si>
    <t>fdp294</t>
  </si>
  <si>
    <t>fdp&amp;294</t>
  </si>
  <si>
    <t>010-4044-8078</t>
  </si>
  <si>
    <t>fdp294@hanmail.net</t>
  </si>
  <si>
    <t>정민욱</t>
  </si>
  <si>
    <t>qog047</t>
  </si>
  <si>
    <t>qog#047</t>
  </si>
  <si>
    <t>010-4478-7179</t>
  </si>
  <si>
    <t>qog047@hanmail.net</t>
  </si>
  <si>
    <t>이지희</t>
  </si>
  <si>
    <t>ixw135</t>
  </si>
  <si>
    <t>ixw!135</t>
  </si>
  <si>
    <t>010-4612-9316</t>
  </si>
  <si>
    <t>ixw135@hanmail.net</t>
  </si>
  <si>
    <t>조영훈</t>
  </si>
  <si>
    <t>trn129</t>
  </si>
  <si>
    <t>trn!129</t>
  </si>
  <si>
    <t>010-4756-6001</t>
  </si>
  <si>
    <t>trn129@naver.com</t>
  </si>
  <si>
    <t>김수길</t>
  </si>
  <si>
    <t>rrs963</t>
  </si>
  <si>
    <t>rrs@963</t>
  </si>
  <si>
    <t>010-5100-1817</t>
  </si>
  <si>
    <t>rrs963@abc.com</t>
  </si>
  <si>
    <t>권주우</t>
  </si>
  <si>
    <t>yzz417</t>
  </si>
  <si>
    <t>yzz#417</t>
  </si>
  <si>
    <t>010-5509-4620</t>
  </si>
  <si>
    <t>yzz417@abc.com</t>
  </si>
  <si>
    <t>김주완</t>
  </si>
  <si>
    <t>drf531</t>
  </si>
  <si>
    <t>drf#531</t>
  </si>
  <si>
    <t>010-5755-7041</t>
  </si>
  <si>
    <t>drf531@naver.com</t>
  </si>
  <si>
    <t>우승아</t>
  </si>
  <si>
    <t>xhm232</t>
  </si>
  <si>
    <t>xhmb!232</t>
  </si>
  <si>
    <t>010-6005-4049</t>
  </si>
  <si>
    <t>xhm232@hanmail.net</t>
  </si>
  <si>
    <t>홍길동</t>
  </si>
  <si>
    <t>abc123</t>
  </si>
  <si>
    <t>admin@12345</t>
  </si>
  <si>
    <t>010-6416-1956</t>
  </si>
  <si>
    <t>abc123@gmail.com</t>
  </si>
  <si>
    <t>전종민</t>
  </si>
  <si>
    <t>lcy203</t>
  </si>
  <si>
    <t>lcy&amp;203</t>
  </si>
  <si>
    <t>010-6665-5261</t>
  </si>
  <si>
    <t>lcy203@abc.com</t>
  </si>
  <si>
    <t>박경근</t>
  </si>
  <si>
    <t>kfr353</t>
  </si>
  <si>
    <t>kfr#353</t>
  </si>
  <si>
    <t>010-7297-9468</t>
  </si>
  <si>
    <t>kfr353@abc.com</t>
  </si>
  <si>
    <t>한용인</t>
  </si>
  <si>
    <t>gop244</t>
  </si>
  <si>
    <t>gop@244</t>
  </si>
  <si>
    <t>010-7624-4245</t>
  </si>
  <si>
    <t>gop244@naver.com</t>
  </si>
  <si>
    <t>방재용</t>
  </si>
  <si>
    <t>bcs585</t>
  </si>
  <si>
    <t>bcs!585</t>
  </si>
  <si>
    <t>010-7703-5051</t>
  </si>
  <si>
    <t>bcs585@abc.com</t>
  </si>
  <si>
    <t>zwe285</t>
  </si>
  <si>
    <t>zwe#285</t>
  </si>
  <si>
    <t>010-7724-5548</t>
  </si>
  <si>
    <t>zwe285@abc.com</t>
  </si>
  <si>
    <t>류경동</t>
  </si>
  <si>
    <t>gmj534</t>
  </si>
  <si>
    <t>gmj#534</t>
  </si>
  <si>
    <t>010-7846-2687</t>
  </si>
  <si>
    <t>gmj534@hanmail.net</t>
  </si>
  <si>
    <t>김성민</t>
  </si>
  <si>
    <t>mqp211</t>
  </si>
  <si>
    <t>mqp!211</t>
  </si>
  <si>
    <t>010-7862-0706</t>
  </si>
  <si>
    <t>mqp211@abc.com</t>
  </si>
  <si>
    <t>박소라</t>
  </si>
  <si>
    <t>crf681</t>
  </si>
  <si>
    <t>crf&amp;681</t>
  </si>
  <si>
    <t>010-7895-2539</t>
  </si>
  <si>
    <t>crf681@abc.com</t>
  </si>
  <si>
    <t>이희수</t>
  </si>
  <si>
    <t>mqh049</t>
  </si>
  <si>
    <t>mqh!049</t>
  </si>
  <si>
    <t>010-8327-7761</t>
  </si>
  <si>
    <t>mqh049@abc.com</t>
  </si>
  <si>
    <t>박진호</t>
  </si>
  <si>
    <t>fnl744</t>
  </si>
  <si>
    <t>fnl&amp;744</t>
  </si>
  <si>
    <t>010-8429-3015</t>
  </si>
  <si>
    <t>fnl744@naver.com</t>
  </si>
  <si>
    <t>황유정</t>
  </si>
  <si>
    <t>aqm970</t>
  </si>
  <si>
    <t>aqm!970</t>
  </si>
  <si>
    <t>010-8447-4875</t>
  </si>
  <si>
    <t>aqm970@gmail.com</t>
  </si>
  <si>
    <t>박종열</t>
  </si>
  <si>
    <t>mhk760</t>
  </si>
  <si>
    <t>mhk#760</t>
  </si>
  <si>
    <t>010-9083-1347</t>
  </si>
  <si>
    <t>mhk760@naver.com</t>
  </si>
  <si>
    <t>김소민</t>
  </si>
  <si>
    <t>jmv702</t>
  </si>
  <si>
    <t>jmv#702</t>
  </si>
  <si>
    <t>010-9209-3806</t>
  </si>
  <si>
    <t>jmv702@abc.com</t>
  </si>
  <si>
    <t>박병화</t>
  </si>
  <si>
    <t>hlq278</t>
  </si>
  <si>
    <t>hlq@278</t>
  </si>
  <si>
    <t>010-9382-9374</t>
  </si>
  <si>
    <t>hlq278@naver.com</t>
  </si>
  <si>
    <t>박병달</t>
  </si>
  <si>
    <t>lkx948</t>
  </si>
  <si>
    <t>lkx&amp;948</t>
  </si>
  <si>
    <t>010-9403-0807</t>
  </si>
  <si>
    <t>lkx948@hanmail.net</t>
  </si>
  <si>
    <t>이창주</t>
  </si>
  <si>
    <t>huu184</t>
  </si>
  <si>
    <t>huu!184</t>
  </si>
  <si>
    <t>010-9511-6498</t>
  </si>
  <si>
    <t>huu184@abc.com</t>
  </si>
  <si>
    <t>이경현</t>
  </si>
  <si>
    <t>xxi474</t>
  </si>
  <si>
    <t>xxi!474</t>
  </si>
  <si>
    <t>010-9649-0464</t>
  </si>
  <si>
    <t>xxi474@abc.com</t>
  </si>
  <si>
    <t>경기일</t>
  </si>
  <si>
    <t>홈팀</t>
  </si>
  <si>
    <t>원정팀</t>
  </si>
  <si>
    <t>경기시간</t>
  </si>
  <si>
    <t>경기구장</t>
  </si>
  <si>
    <t>롯데 자이언츠</t>
  </si>
  <si>
    <t>한화 이글스</t>
  </si>
  <si>
    <t>오전경기</t>
  </si>
  <si>
    <t>두산 베어스</t>
  </si>
  <si>
    <t>오후경기</t>
  </si>
  <si>
    <t>삼성 라이온즈</t>
  </si>
  <si>
    <t>LG 트윈스</t>
  </si>
  <si>
    <t>야간경기</t>
  </si>
  <si>
    <t>KIA 타이거즈</t>
  </si>
  <si>
    <t>SK 와이번스</t>
  </si>
  <si>
    <t>NC 다이노스</t>
  </si>
  <si>
    <t>KT 위즈</t>
  </si>
  <si>
    <t>넥센 히어로즈</t>
  </si>
  <si>
    <t>점수</t>
  </si>
  <si>
    <t>승패</t>
    <phoneticPr fontId="3" type="noConversion"/>
  </si>
  <si>
    <r>
      <t xml:space="preserve"> 점수</t>
    </r>
    <r>
      <rPr>
        <sz val="11"/>
        <color rgb="FF0070C0"/>
        <rFont val="맑은 고딕"/>
        <family val="3"/>
        <charset val="129"/>
        <scheme val="minor"/>
      </rPr>
      <t>2</t>
    </r>
    <phoneticPr fontId="3" type="noConversion"/>
  </si>
  <si>
    <t>결제일</t>
  </si>
  <si>
    <t>결제자</t>
  </si>
  <si>
    <t>등급</t>
  </si>
  <si>
    <t>총합</t>
    <phoneticPr fontId="3" type="noConversion"/>
  </si>
  <si>
    <t>인원합</t>
    <phoneticPr fontId="3" type="noConversion"/>
  </si>
  <si>
    <t>좌석수</t>
    <phoneticPr fontId="3" type="noConversion"/>
  </si>
  <si>
    <t>팀이름</t>
    <phoneticPr fontId="3" type="noConversion"/>
  </si>
  <si>
    <t>승</t>
    <phoneticPr fontId="3" type="noConversion"/>
  </si>
  <si>
    <t>패</t>
    <phoneticPr fontId="3" type="noConversion"/>
  </si>
  <si>
    <t>무승부</t>
    <phoneticPr fontId="3" type="noConversion"/>
  </si>
  <si>
    <t>승률</t>
    <phoneticPr fontId="3" type="noConversion"/>
  </si>
  <si>
    <t>LG 트윈스</t>
    <phoneticPr fontId="3" type="noConversion"/>
  </si>
  <si>
    <t>KIA 타이거즈</t>
    <phoneticPr fontId="3" type="noConversion"/>
  </si>
  <si>
    <t>KT 위즈</t>
    <phoneticPr fontId="3" type="noConversion"/>
  </si>
  <si>
    <t>두산 베어스</t>
    <phoneticPr fontId="3" type="noConversion"/>
  </si>
  <si>
    <t>SK 와이번스</t>
    <phoneticPr fontId="3" type="noConversion"/>
  </si>
  <si>
    <t>롯데 자이언츠</t>
    <phoneticPr fontId="3" type="noConversion"/>
  </si>
  <si>
    <t>NC 다이노스</t>
    <phoneticPr fontId="3" type="noConversion"/>
  </si>
  <si>
    <t>한화 이글스</t>
    <phoneticPr fontId="3" type="noConversion"/>
  </si>
  <si>
    <t>삼성 라이온즈</t>
    <phoneticPr fontId="3" type="noConversion"/>
  </si>
  <si>
    <t>넥센 히어로즈</t>
    <phoneticPr fontId="3" type="noConversion"/>
  </si>
  <si>
    <t>단독4위</t>
  </si>
  <si>
    <t>단독5위</t>
  </si>
  <si>
    <t>단독6위</t>
  </si>
  <si>
    <t>단독1위</t>
  </si>
  <si>
    <t>단독3위</t>
  </si>
  <si>
    <t>단독8위</t>
  </si>
  <si>
    <t>순위</t>
    <phoneticPr fontId="3" type="noConversion"/>
  </si>
  <si>
    <t>(모두)</t>
  </si>
  <si>
    <t>합계 : 어른</t>
  </si>
  <si>
    <t>합계 : 청소년</t>
  </si>
  <si>
    <t>합계 : 어린이</t>
  </si>
  <si>
    <t>합계 : 유아</t>
  </si>
  <si>
    <t>행 레이블</t>
  </si>
  <si>
    <t>총합계</t>
  </si>
  <si>
    <t>열 레이블</t>
  </si>
  <si>
    <t>합계 : 필드1</t>
  </si>
  <si>
    <t>홈팀</t>
    <phoneticPr fontId="3" type="noConversion"/>
  </si>
  <si>
    <t>원정팀</t>
    <phoneticPr fontId="3" type="noConversion"/>
  </si>
  <si>
    <t>SK 와이번스</t>
    <phoneticPr fontId="3" type="noConversion"/>
  </si>
  <si>
    <t>롯데 자이언츠</t>
    <phoneticPr fontId="3" type="noConversion"/>
  </si>
  <si>
    <t>2019 KBO리그 관람 티켓</t>
    <phoneticPr fontId="3" type="noConversion"/>
  </si>
  <si>
    <t>유형</t>
    <phoneticPr fontId="3" type="noConversion"/>
  </si>
  <si>
    <t>가격</t>
    <phoneticPr fontId="3" type="noConversion"/>
  </si>
  <si>
    <t>티켓 수</t>
    <phoneticPr fontId="3" type="noConversion"/>
  </si>
  <si>
    <t>경기날짜</t>
    <phoneticPr fontId="3" type="noConversion"/>
  </si>
  <si>
    <t>장소</t>
    <phoneticPr fontId="3" type="noConversion"/>
  </si>
  <si>
    <t>유의사항</t>
    <phoneticPr fontId="3" type="noConversion"/>
  </si>
  <si>
    <t>결제일</t>
    <phoneticPr fontId="3" type="noConversion"/>
  </si>
  <si>
    <t>총 가격</t>
    <phoneticPr fontId="3" type="noConversion"/>
  </si>
  <si>
    <t>결제자</t>
    <phoneticPr fontId="3" type="noConversion"/>
  </si>
  <si>
    <t>오후경기</t>
    <phoneticPr fontId="3" type="noConversion"/>
  </si>
  <si>
    <t>KIA 타이거즈</t>
    <phoneticPr fontId="3" type="noConversion"/>
  </si>
  <si>
    <t>광주 기아 챔피언스 필드</t>
    <phoneticPr fontId="3" type="noConversion"/>
  </si>
  <si>
    <t>2019-01-12 오후경기</t>
    <phoneticPr fontId="3" type="noConversion"/>
  </si>
  <si>
    <t>광주 기아 챔피언스 필드</t>
    <phoneticPr fontId="3" type="noConversion"/>
  </si>
  <si>
    <t>S</t>
    <phoneticPr fontId="3" type="noConversion"/>
  </si>
  <si>
    <t>이혜진</t>
    <phoneticPr fontId="3" type="noConversion"/>
  </si>
  <si>
    <t>등급</t>
    <phoneticPr fontId="3" type="noConversion"/>
  </si>
  <si>
    <t>KIA 타이거즈</t>
    <phoneticPr fontId="3" type="noConversion"/>
  </si>
  <si>
    <t>LG 트윈스</t>
    <phoneticPr fontId="3" type="noConversion"/>
  </si>
  <si>
    <t>sik@730</t>
  </si>
  <si>
    <t>010-0201-1222</t>
  </si>
  <si>
    <t>sik730@naver.com</t>
  </si>
  <si>
    <t>단독2위</t>
  </si>
  <si>
    <t>단독7위</t>
  </si>
  <si>
    <t>단독9위</t>
  </si>
  <si>
    <t>단독10위</t>
  </si>
  <si>
    <t>3월</t>
  </si>
  <si>
    <t>4월</t>
  </si>
  <si>
    <t>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</si>
</sst>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#,##0.000"/>
    <numFmt numFmtId="177" formatCode="#,##0\ &quot;명&quot;"/>
    <numFmt numFmtId="178" formatCode="#,##0\ &quot;장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1" fontId="5" fillId="2" borderId="0" xfId="1" applyFont="1" applyFill="1" applyAlignment="1">
      <alignment horizontal="center" vertical="center"/>
    </xf>
    <xf numFmtId="0" fontId="2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178" fontId="8" fillId="5" borderId="1" xfId="0" applyNumberFormat="1" applyFont="1" applyFill="1" applyBorder="1" applyAlignment="1">
      <alignment horizontal="center" vertical="center"/>
    </xf>
    <xf numFmtId="42" fontId="8" fillId="5" borderId="6" xfId="0" applyNumberFormat="1" applyFont="1" applyFill="1" applyBorder="1" applyAlignment="1">
      <alignment horizontal="center" vertical="center"/>
    </xf>
    <xf numFmtId="41" fontId="4" fillId="0" borderId="0" xfId="1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Protection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4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42" fontId="8" fillId="5" borderId="1" xfId="0" applyNumberFormat="1" applyFont="1" applyFill="1" applyBorder="1" applyAlignment="1">
      <alignment horizontal="center" vertical="center"/>
    </xf>
    <xf numFmtId="42" fontId="8" fillId="5" borderId="6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54"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\ &quot;명&quot;"/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[Excel2019.xlsm]흥행!피벗 테이블2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흥행!$U$5:$U$6</c:f>
              <c:strCache>
                <c:ptCount val="1"/>
                <c:pt idx="0">
                  <c:v>익사이팅존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흥행!$T$7:$T$10</c:f>
              <c:strCache>
                <c:ptCount val="3"/>
                <c:pt idx="0">
                  <c:v>부산 사직 야구장</c:v>
                </c:pt>
                <c:pt idx="1">
                  <c:v>고척 스카이돔</c:v>
                </c:pt>
                <c:pt idx="2">
                  <c:v>대구 삼성 라이온즈 파크</c:v>
                </c:pt>
              </c:strCache>
            </c:strRef>
          </c:cat>
          <c:val>
            <c:numRef>
              <c:f>흥행!$U$7:$U$10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C-4D3B-A8F8-91FB9DF0DEFC}"/>
            </c:ext>
          </c:extLst>
        </c:ser>
        <c:ser>
          <c:idx val="1"/>
          <c:order val="1"/>
          <c:tx>
            <c:strRef>
              <c:f>흥행!$V$5:$V$6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흥행!$T$7:$T$10</c:f>
              <c:strCache>
                <c:ptCount val="3"/>
                <c:pt idx="0">
                  <c:v>부산 사직 야구장</c:v>
                </c:pt>
                <c:pt idx="1">
                  <c:v>고척 스카이돔</c:v>
                </c:pt>
                <c:pt idx="2">
                  <c:v>대구 삼성 라이온즈 파크</c:v>
                </c:pt>
              </c:strCache>
            </c:strRef>
          </c:cat>
          <c:val>
            <c:numRef>
              <c:f>흥행!$V$7:$V$10</c:f>
              <c:numCache>
                <c:formatCode>General</c:formatCode>
                <c:ptCount val="3"/>
                <c:pt idx="0">
                  <c:v>4</c:v>
                </c:pt>
                <c:pt idx="1">
                  <c:v>7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C-4D3B-A8F8-91FB9DF0DEFC}"/>
            </c:ext>
          </c:extLst>
        </c:ser>
        <c:ser>
          <c:idx val="2"/>
          <c:order val="2"/>
          <c:tx>
            <c:strRef>
              <c:f>흥행!$W$5:$W$6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흥행!$T$7:$T$10</c:f>
              <c:strCache>
                <c:ptCount val="3"/>
                <c:pt idx="0">
                  <c:v>부산 사직 야구장</c:v>
                </c:pt>
                <c:pt idx="1">
                  <c:v>고척 스카이돔</c:v>
                </c:pt>
                <c:pt idx="2">
                  <c:v>대구 삼성 라이온즈 파크</c:v>
                </c:pt>
              </c:strCache>
            </c:strRef>
          </c:cat>
          <c:val>
            <c:numRef>
              <c:f>흥행!$W$7:$W$10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5C-4D3B-A8F8-91FB9DF0DEFC}"/>
            </c:ext>
          </c:extLst>
        </c:ser>
        <c:ser>
          <c:idx val="3"/>
          <c:order val="3"/>
          <c:tx>
            <c:strRef>
              <c:f>흥행!$X$5:$X$6</c:f>
              <c:strCache>
                <c:ptCount val="1"/>
                <c:pt idx="0">
                  <c:v>자유석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흥행!$T$7:$T$10</c:f>
              <c:strCache>
                <c:ptCount val="3"/>
                <c:pt idx="0">
                  <c:v>부산 사직 야구장</c:v>
                </c:pt>
                <c:pt idx="1">
                  <c:v>고척 스카이돔</c:v>
                </c:pt>
                <c:pt idx="2">
                  <c:v>대구 삼성 라이온즈 파크</c:v>
                </c:pt>
              </c:strCache>
            </c:strRef>
          </c:cat>
          <c:val>
            <c:numRef>
              <c:f>흥행!$X$7:$X$10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5C-4D3B-A8F8-91FB9DF0D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4774632"/>
        <c:axId val="124773064"/>
        <c:axId val="0"/>
      </c:bar3DChart>
      <c:catAx>
        <c:axId val="12477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773064"/>
        <c:crosses val="autoZero"/>
        <c:auto val="1"/>
        <c:lblAlgn val="ctr"/>
        <c:lblOffset val="100"/>
        <c:noMultiLvlLbl val="0"/>
      </c:catAx>
      <c:valAx>
        <c:axId val="12477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77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U$2" horiz="1" max="7" min="1" page="10" val="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122338</xdr:colOff>
      <xdr:row>1</xdr:row>
      <xdr:rowOff>198106</xdr:rowOff>
    </xdr:from>
    <xdr:ext cx="4365426" cy="1289712"/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65538" y="407656"/>
          <a:ext cx="4365426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ko-KR" sz="5400" b="1" cap="none" spc="0">
              <a:ln w="12700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accent2"/>
                </a:outerShdw>
              </a:effectLst>
            </a:rPr>
            <a:t>2019 KBO</a:t>
          </a:r>
          <a:r>
            <a:rPr lang="ko-KR" altLang="en-US" sz="5400" b="1" cap="none" spc="0">
              <a:ln w="12700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accent2"/>
                </a:outerShdw>
              </a:effectLst>
            </a:rPr>
            <a:t>리그</a:t>
          </a:r>
          <a:endParaRPr lang="en-US" altLang="ko-KR" sz="5400" b="1" cap="none" spc="0">
            <a:ln w="12700">
              <a:solidFill>
                <a:schemeClr val="accent2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accent2"/>
              </a:outerShdw>
            </a:effectLst>
          </a:endParaRPr>
        </a:p>
      </xdr:txBody>
    </xdr:sp>
    <xdr:clientData/>
  </xdr:oneCellAnchor>
  <xdr:twoCellAnchor editAs="oneCell">
    <xdr:from>
      <xdr:col>1</xdr:col>
      <xdr:colOff>57150</xdr:colOff>
      <xdr:row>2</xdr:row>
      <xdr:rowOff>47625</xdr:rowOff>
    </xdr:from>
    <xdr:to>
      <xdr:col>3</xdr:col>
      <xdr:colOff>285750</xdr:colOff>
      <xdr:row>7</xdr:row>
      <xdr:rowOff>200025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466725"/>
          <a:ext cx="1600200" cy="1200150"/>
        </a:xfrm>
        <a:prstGeom prst="rect">
          <a:avLst/>
        </a:prstGeom>
      </xdr:spPr>
    </xdr:pic>
    <xdr:clientData/>
  </xdr:twoCellAnchor>
  <xdr:oneCellAnchor>
    <xdr:from>
      <xdr:col>4</xdr:col>
      <xdr:colOff>65188</xdr:colOff>
      <xdr:row>1</xdr:row>
      <xdr:rowOff>150481</xdr:rowOff>
    </xdr:from>
    <xdr:ext cx="4365426" cy="1289712"/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8388" y="360031"/>
          <a:ext cx="4365426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ko-KR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2019 KBO</a:t>
          </a:r>
          <a:r>
            <a:rPr lang="ko-KR" altLang="en-US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리그</a:t>
          </a:r>
          <a:endParaRPr lang="en-US" altLang="ko-KR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2</xdr:row>
          <xdr:rowOff>190500</xdr:rowOff>
        </xdr:from>
        <xdr:to>
          <xdr:col>12</xdr:col>
          <xdr:colOff>323850</xdr:colOff>
          <xdr:row>6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9</xdr:row>
          <xdr:rowOff>19050</xdr:rowOff>
        </xdr:from>
        <xdr:to>
          <xdr:col>6</xdr:col>
          <xdr:colOff>342900</xdr:colOff>
          <xdr:row>11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11</xdr:row>
          <xdr:rowOff>180975</xdr:rowOff>
        </xdr:from>
        <xdr:to>
          <xdr:col>6</xdr:col>
          <xdr:colOff>342900</xdr:colOff>
          <xdr:row>13</xdr:row>
          <xdr:rowOff>180975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14</xdr:row>
          <xdr:rowOff>171450</xdr:rowOff>
        </xdr:from>
        <xdr:to>
          <xdr:col>6</xdr:col>
          <xdr:colOff>342900</xdr:colOff>
          <xdr:row>16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19050</xdr:rowOff>
        </xdr:from>
        <xdr:to>
          <xdr:col>10</xdr:col>
          <xdr:colOff>19050</xdr:colOff>
          <xdr:row>11</xdr:row>
          <xdr:rowOff>19050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11</xdr:row>
          <xdr:rowOff>180975</xdr:rowOff>
        </xdr:from>
        <xdr:to>
          <xdr:col>10</xdr:col>
          <xdr:colOff>19050</xdr:colOff>
          <xdr:row>13</xdr:row>
          <xdr:rowOff>180975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14</xdr:row>
          <xdr:rowOff>171450</xdr:rowOff>
        </xdr:from>
        <xdr:to>
          <xdr:col>10</xdr:col>
          <xdr:colOff>19050</xdr:colOff>
          <xdr:row>16</xdr:row>
          <xdr:rowOff>171450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0</xdr:rowOff>
        </xdr:from>
        <xdr:to>
          <xdr:col>14</xdr:col>
          <xdr:colOff>28575</xdr:colOff>
          <xdr:row>5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1</xdr:row>
          <xdr:rowOff>123825</xdr:rowOff>
        </xdr:from>
        <xdr:to>
          <xdr:col>8</xdr:col>
          <xdr:colOff>676275</xdr:colOff>
          <xdr:row>3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204786</xdr:rowOff>
    </xdr:from>
    <xdr:to>
      <xdr:col>9</xdr:col>
      <xdr:colOff>644978</xdr:colOff>
      <xdr:row>28</xdr:row>
      <xdr:rowOff>24492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28</xdr:row>
          <xdr:rowOff>190500</xdr:rowOff>
        </xdr:from>
        <xdr:to>
          <xdr:col>9</xdr:col>
          <xdr:colOff>685800</xdr:colOff>
          <xdr:row>32</xdr:row>
          <xdr:rowOff>171450</xdr:rowOff>
        </xdr:to>
        <xdr:sp macro="" textlink="">
          <xdr:nvSpPr>
            <xdr:cNvPr id="8193" name="Scroll Ba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4</xdr:row>
          <xdr:rowOff>123825</xdr:rowOff>
        </xdr:from>
        <xdr:to>
          <xdr:col>8</xdr:col>
          <xdr:colOff>695325</xdr:colOff>
          <xdr:row>6</xdr:row>
          <xdr:rowOff>142875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962.501353356478" createdVersion="5" refreshedVersion="6" minRefreshableVersion="3" recordCount="36" xr:uid="{00000000-000A-0000-FFFF-FFFF20000000}">
  <cacheSource type="worksheet">
    <worksheetSource name="표3"/>
  </cacheSource>
  <cacheFields count="14">
    <cacheField name="결제일" numFmtId="14">
      <sharedItems containsSemiMixedTypes="0" containsNonDate="0" containsDate="1" containsString="0" minDate="2019-02-18T00:00:00" maxDate="2019-04-04T00:00:00" count="20">
        <d v="2019-02-18T00:00:00"/>
        <d v="2019-02-20T00:00:00"/>
        <d v="2019-02-25T00:00:00"/>
        <d v="2019-03-01T00:00:00"/>
        <d v="2019-03-10T00:00:00"/>
        <d v="2019-03-12T00:00:00"/>
        <d v="2019-03-14T00:00:00"/>
        <d v="2019-03-15T00:00:00"/>
        <d v="2019-03-16T00:00:00"/>
        <d v="2019-03-17T00:00:00"/>
        <d v="2019-03-18T00:00:00"/>
        <d v="2019-03-20T00:00:00"/>
        <d v="2019-03-21T00:00:00"/>
        <d v="2019-03-23T00:00:00"/>
        <d v="2019-03-25T00:00:00"/>
        <d v="2019-03-26T00:00:00"/>
        <d v="2019-03-27T00:00:00"/>
        <d v="2019-03-28T00:00:00"/>
        <d v="2019-04-01T00:00:00"/>
        <d v="2019-04-03T00:00:00"/>
      </sharedItems>
      <fieldGroup par="13" base="0">
        <rangePr groupBy="days" startDate="2019-02-18T00:00:00" endDate="2019-04-04T00:00:00"/>
        <groupItems count="368">
          <s v="&lt;2019-02-1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19-04-04"/>
        </groupItems>
      </fieldGroup>
    </cacheField>
    <cacheField name="경기일" numFmtId="14">
      <sharedItems containsSemiMixedTypes="0" containsNonDate="0" containsDate="1" containsString="0" minDate="2019-02-22T00:00:00" maxDate="2019-04-06T00:00:00"/>
    </cacheField>
    <cacheField name="경기시간" numFmtId="0">
      <sharedItems/>
    </cacheField>
    <cacheField name="결제자" numFmtId="0">
      <sharedItems/>
    </cacheField>
    <cacheField name="구장" numFmtId="0">
      <sharedItems count="9">
        <s v="서울 잠실 야구장"/>
        <s v="광주 기아 챔피언스 필드"/>
        <s v="수원 KT 위즈 파크"/>
        <s v="대전 한화생명 이글스파크"/>
        <s v="대구 삼성 라이온즈 파크"/>
        <s v="인천 SK 행복드림구장"/>
        <s v="마산 종합운동장 야구장"/>
        <s v="고척 스카이돔"/>
        <s v="부산 사직 야구장"/>
      </sharedItems>
    </cacheField>
    <cacheField name="등급" numFmtId="0">
      <sharedItems count="4">
        <s v="익사이팅존"/>
        <s v="자유석"/>
        <s v="A"/>
        <s v="S"/>
      </sharedItems>
    </cacheField>
    <cacheField name="어른" numFmtId="0">
      <sharedItems containsSemiMixedTypes="0" containsString="0" containsNumber="1" containsInteger="1" minValue="0" maxValue="6"/>
    </cacheField>
    <cacheField name="청소년" numFmtId="0">
      <sharedItems containsSemiMixedTypes="0" containsString="0" containsNumber="1" containsInteger="1" minValue="0" maxValue="3"/>
    </cacheField>
    <cacheField name="어린이" numFmtId="0">
      <sharedItems containsSemiMixedTypes="0" containsString="0" containsNumber="1" containsInteger="1" minValue="0" maxValue="3"/>
    </cacheField>
    <cacheField name="유아" numFmtId="0">
      <sharedItems containsSemiMixedTypes="0" containsString="0" containsNumber="1" containsInteger="1" minValue="0" maxValue="2"/>
    </cacheField>
    <cacheField name="총합" numFmtId="41">
      <sharedItems containsSemiMixedTypes="0" containsString="0" containsNumber="1" containsInteger="1" minValue="2000" maxValue="440000"/>
    </cacheField>
    <cacheField name="인원합" numFmtId="0">
      <sharedItems containsSemiMixedTypes="0" containsString="0" containsNumber="1" containsInteger="1" minValue="2" maxValue="11"/>
    </cacheField>
    <cacheField name="필드1" numFmtId="0" formula="어른+청소년+어린이+유아" databaseField="0"/>
    <cacheField name="월" numFmtId="0" databaseField="0">
      <fieldGroup base="0">
        <rangePr groupBy="months" startDate="2019-02-18T00:00:00" endDate="2019-04-04T00:00:00"/>
        <groupItems count="14">
          <s v="&lt;2019-02-1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9-04-0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d v="2019-02-22T00:00:00"/>
    <s v="야간경기"/>
    <s v="김민준"/>
    <x v="0"/>
    <x v="0"/>
    <n v="2"/>
    <n v="1"/>
    <n v="1"/>
    <n v="1"/>
    <n v="205000"/>
    <n v="5"/>
  </r>
  <r>
    <x v="1"/>
    <d v="2019-02-22T00:00:00"/>
    <s v="야간경기"/>
    <s v="이미기"/>
    <x v="0"/>
    <x v="0"/>
    <n v="3"/>
    <n v="2"/>
    <n v="0"/>
    <n v="2"/>
    <n v="300000"/>
    <n v="7"/>
  </r>
  <r>
    <x v="2"/>
    <d v="2019-02-28T00:00:00"/>
    <s v="오전경기"/>
    <s v="이혜진"/>
    <x v="1"/>
    <x v="1"/>
    <n v="3"/>
    <n v="1"/>
    <n v="3"/>
    <n v="1"/>
    <n v="21500"/>
    <n v="8"/>
  </r>
  <r>
    <x v="3"/>
    <d v="2019-03-09T00:00:00"/>
    <s v="오후경기"/>
    <s v="이경현"/>
    <x v="1"/>
    <x v="2"/>
    <n v="4"/>
    <n v="0"/>
    <n v="2"/>
    <n v="2"/>
    <n v="76000"/>
    <n v="8"/>
  </r>
  <r>
    <x v="4"/>
    <d v="2019-03-15T00:00:00"/>
    <s v="야간경기"/>
    <s v="박병화"/>
    <x v="2"/>
    <x v="1"/>
    <n v="6"/>
    <n v="3"/>
    <n v="1"/>
    <n v="1"/>
    <n v="40500"/>
    <n v="11"/>
  </r>
  <r>
    <x v="5"/>
    <d v="2019-03-15T00:00:00"/>
    <s v="오전경기"/>
    <s v="박병달"/>
    <x v="1"/>
    <x v="2"/>
    <n v="2"/>
    <n v="3"/>
    <n v="1"/>
    <n v="1"/>
    <n v="68000"/>
    <n v="7"/>
  </r>
  <r>
    <x v="6"/>
    <d v="2019-03-15T00:00:00"/>
    <s v="오전경기"/>
    <s v="조영훈"/>
    <x v="1"/>
    <x v="2"/>
    <n v="1"/>
    <n v="1"/>
    <n v="1"/>
    <n v="0"/>
    <n v="30000"/>
    <n v="3"/>
  </r>
  <r>
    <x v="6"/>
    <d v="2019-03-19T00:00:00"/>
    <s v="야간경기"/>
    <s v="박유진"/>
    <x v="3"/>
    <x v="1"/>
    <n v="1"/>
    <n v="2"/>
    <n v="2"/>
    <n v="1"/>
    <n v="13500"/>
    <n v="6"/>
  </r>
  <r>
    <x v="7"/>
    <d v="2019-03-20T00:00:00"/>
    <s v="야간경기"/>
    <s v="민혜원"/>
    <x v="4"/>
    <x v="0"/>
    <n v="0"/>
    <n v="3"/>
    <n v="1"/>
    <n v="1"/>
    <n v="195000"/>
    <n v="5"/>
  </r>
  <r>
    <x v="7"/>
    <d v="2019-03-20T00:00:00"/>
    <s v="야간경기"/>
    <s v="정민욱"/>
    <x v="5"/>
    <x v="1"/>
    <n v="2"/>
    <n v="1"/>
    <n v="1"/>
    <n v="1"/>
    <n v="14500"/>
    <n v="5"/>
  </r>
  <r>
    <x v="8"/>
    <d v="2019-03-22T00:00:00"/>
    <s v="야간경기"/>
    <s v="박병화"/>
    <x v="2"/>
    <x v="1"/>
    <n v="2"/>
    <n v="3"/>
    <n v="2"/>
    <n v="1"/>
    <n v="21500"/>
    <n v="8"/>
  </r>
  <r>
    <x v="8"/>
    <d v="2019-03-22T00:00:00"/>
    <s v="오후경기"/>
    <s v="천보라"/>
    <x v="6"/>
    <x v="0"/>
    <n v="2"/>
    <n v="3"/>
    <n v="0"/>
    <n v="1"/>
    <n v="265000"/>
    <n v="6"/>
  </r>
  <r>
    <x v="8"/>
    <d v="2019-03-23T00:00:00"/>
    <s v="야간경기"/>
    <s v="양미희"/>
    <x v="4"/>
    <x v="2"/>
    <n v="3"/>
    <n v="1"/>
    <n v="2"/>
    <n v="2"/>
    <n v="71000"/>
    <n v="8"/>
  </r>
  <r>
    <x v="8"/>
    <d v="2019-03-23T00:00:00"/>
    <s v="오후경기"/>
    <s v="박유진"/>
    <x v="3"/>
    <x v="3"/>
    <n v="3"/>
    <n v="1"/>
    <n v="0"/>
    <n v="2"/>
    <n v="440000"/>
    <n v="6"/>
  </r>
  <r>
    <x v="9"/>
    <d v="2019-03-23T00:00:00"/>
    <s v="오전경기"/>
    <s v="김소영"/>
    <x v="3"/>
    <x v="0"/>
    <n v="0"/>
    <n v="2"/>
    <n v="1"/>
    <n v="1"/>
    <n v="150000"/>
    <n v="4"/>
  </r>
  <r>
    <x v="10"/>
    <d v="2019-03-25T00:00:00"/>
    <s v="오후경기"/>
    <s v="민혜원"/>
    <x v="4"/>
    <x v="1"/>
    <n v="1"/>
    <n v="3"/>
    <n v="0"/>
    <n v="1"/>
    <n v="14500"/>
    <n v="5"/>
  </r>
  <r>
    <x v="10"/>
    <d v="2019-03-25T00:00:00"/>
    <s v="오후경기"/>
    <s v="양미희"/>
    <x v="4"/>
    <x v="2"/>
    <n v="3"/>
    <n v="1"/>
    <n v="2"/>
    <n v="2"/>
    <n v="71000"/>
    <n v="8"/>
  </r>
  <r>
    <x v="10"/>
    <d v="2019-03-25T00:00:00"/>
    <s v="오후경기"/>
    <s v="김성민"/>
    <x v="4"/>
    <x v="2"/>
    <n v="0"/>
    <n v="2"/>
    <n v="2"/>
    <n v="0"/>
    <n v="30000"/>
    <n v="4"/>
  </r>
  <r>
    <x v="10"/>
    <d v="2019-03-25T00:00:00"/>
    <s v="오후경기"/>
    <s v="박병달"/>
    <x v="1"/>
    <x v="0"/>
    <n v="2"/>
    <n v="0"/>
    <n v="0"/>
    <n v="1"/>
    <n v="130000"/>
    <n v="3"/>
  </r>
  <r>
    <x v="11"/>
    <d v="2019-03-25T00:00:00"/>
    <s v="오후경기"/>
    <s v="이혜진"/>
    <x v="1"/>
    <x v="1"/>
    <n v="0"/>
    <n v="0"/>
    <n v="1"/>
    <n v="2"/>
    <n v="2000"/>
    <n v="3"/>
  </r>
  <r>
    <x v="12"/>
    <d v="2019-03-28T00:00:00"/>
    <s v="오전경기"/>
    <s v="김소영"/>
    <x v="3"/>
    <x v="1"/>
    <n v="1"/>
    <n v="3"/>
    <n v="1"/>
    <n v="2"/>
    <n v="16000"/>
    <n v="7"/>
  </r>
  <r>
    <x v="12"/>
    <d v="2019-03-28T00:00:00"/>
    <s v="야간경기"/>
    <s v="황유정"/>
    <x v="0"/>
    <x v="0"/>
    <n v="0"/>
    <n v="1"/>
    <n v="0"/>
    <n v="2"/>
    <n v="105000"/>
    <n v="3"/>
  </r>
  <r>
    <x v="12"/>
    <d v="2019-03-28T00:00:00"/>
    <s v="야간경기"/>
    <s v="우승아"/>
    <x v="0"/>
    <x v="2"/>
    <n v="3"/>
    <n v="2"/>
    <n v="2"/>
    <n v="1"/>
    <n v="78000"/>
    <n v="8"/>
  </r>
  <r>
    <x v="13"/>
    <d v="2019-03-28T00:00:00"/>
    <s v="오후경기"/>
    <s v="박진호"/>
    <x v="5"/>
    <x v="2"/>
    <n v="0"/>
    <n v="3"/>
    <n v="2"/>
    <n v="1"/>
    <n v="43000"/>
    <n v="6"/>
  </r>
  <r>
    <x v="13"/>
    <d v="2019-03-29T00:00:00"/>
    <s v="오후경기"/>
    <s v="홍효진"/>
    <x v="7"/>
    <x v="1"/>
    <n v="1"/>
    <n v="1"/>
    <n v="1"/>
    <n v="1"/>
    <n v="9500"/>
    <n v="4"/>
  </r>
  <r>
    <x v="14"/>
    <d v="2019-03-29T00:00:00"/>
    <s v="오후경기"/>
    <s v="이지희"/>
    <x v="7"/>
    <x v="3"/>
    <n v="0"/>
    <n v="3"/>
    <n v="2"/>
    <n v="2"/>
    <n v="400000"/>
    <n v="7"/>
  </r>
  <r>
    <x v="15"/>
    <d v="2019-03-30T00:00:00"/>
    <s v="오전경기"/>
    <s v="우승아"/>
    <x v="8"/>
    <x v="1"/>
    <n v="1"/>
    <n v="2"/>
    <n v="1"/>
    <n v="1"/>
    <n v="12500"/>
    <n v="5"/>
  </r>
  <r>
    <x v="16"/>
    <d v="2019-03-30T00:00:00"/>
    <s v="오전경기"/>
    <s v="이지희"/>
    <x v="8"/>
    <x v="3"/>
    <n v="0"/>
    <n v="2"/>
    <n v="1"/>
    <n v="1"/>
    <n v="240000"/>
    <n v="4"/>
  </r>
  <r>
    <x v="16"/>
    <d v="2019-03-30T00:00:00"/>
    <s v="오전경기"/>
    <s v="박진호"/>
    <x v="2"/>
    <x v="0"/>
    <n v="1"/>
    <n v="2"/>
    <n v="0"/>
    <n v="1"/>
    <n v="170000"/>
    <n v="4"/>
  </r>
  <r>
    <x v="15"/>
    <d v="2019-03-31T00:00:00"/>
    <s v="오전경기"/>
    <s v="조영훈"/>
    <x v="1"/>
    <x v="2"/>
    <n v="0"/>
    <n v="0"/>
    <n v="0"/>
    <n v="2"/>
    <n v="6000"/>
    <n v="2"/>
  </r>
  <r>
    <x v="15"/>
    <d v="2019-03-31T00:00:00"/>
    <s v="오전경기"/>
    <s v="정민욱"/>
    <x v="5"/>
    <x v="1"/>
    <n v="3"/>
    <n v="0"/>
    <n v="1"/>
    <n v="1"/>
    <n v="16500"/>
    <n v="5"/>
  </r>
  <r>
    <x v="17"/>
    <d v="2019-03-31T00:00:00"/>
    <s v="오전경기"/>
    <s v="권주우"/>
    <x v="5"/>
    <x v="1"/>
    <n v="2"/>
    <n v="1"/>
    <n v="1"/>
    <n v="1"/>
    <n v="14500"/>
    <n v="5"/>
  </r>
  <r>
    <x v="17"/>
    <d v="2019-04-04T00:00:00"/>
    <s v="오전경기"/>
    <s v="이지희"/>
    <x v="8"/>
    <x v="0"/>
    <n v="0"/>
    <n v="0"/>
    <n v="2"/>
    <n v="2"/>
    <n v="120000"/>
    <n v="4"/>
  </r>
  <r>
    <x v="17"/>
    <d v="2019-04-05T00:00:00"/>
    <s v="오전경기"/>
    <s v="김성민"/>
    <x v="4"/>
    <x v="3"/>
    <n v="1"/>
    <n v="0"/>
    <n v="2"/>
    <n v="2"/>
    <n v="260000"/>
    <n v="5"/>
  </r>
  <r>
    <x v="18"/>
    <d v="2019-04-05T00:00:00"/>
    <s v="오전경기"/>
    <s v="양미희"/>
    <x v="4"/>
    <x v="1"/>
    <n v="1"/>
    <n v="3"/>
    <n v="0"/>
    <n v="0"/>
    <n v="14000"/>
    <n v="4"/>
  </r>
  <r>
    <x v="19"/>
    <d v="2019-04-05T00:00:00"/>
    <s v="오후경기"/>
    <s v="홍효진"/>
    <x v="2"/>
    <x v="2"/>
    <n v="1"/>
    <n v="3"/>
    <n v="2"/>
    <n v="2"/>
    <n v="61000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6">
  <location ref="T5:Y10" firstHeaderRow="1" firstDataRow="2" firstDataCol="1"/>
  <pivotFields count="14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4" showAll="0"/>
    <pivotField showAll="0"/>
    <pivotField showAll="0"/>
    <pivotField axis="axisRow" showAll="0">
      <items count="10">
        <item x="8"/>
        <item x="7"/>
        <item x="4"/>
        <item h="1" x="1"/>
        <item h="1" x="6"/>
        <item h="1" x="3"/>
        <item h="1" x="0"/>
        <item h="1" x="2"/>
        <item h="1" x="5"/>
        <item t="default"/>
      </items>
    </pivotField>
    <pivotField axis="axisCol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numFmtId="41" showAll="0"/>
    <pivotField showAll="0"/>
    <pivotField dataField="1"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합계 : 필드1" fld="12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6">
  <location ref="B4:F17" firstHeaderRow="0" firstDataRow="1" firstDataCol="1" rowPageCount="1" colPageCount="1"/>
  <pivotFields count="14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4" showAll="0"/>
    <pivotField showAll="0"/>
    <pivotField showAll="0"/>
    <pivotField axis="axisPage" showAll="0">
      <items count="10">
        <item x="7"/>
        <item x="1"/>
        <item x="4"/>
        <item x="3"/>
        <item x="6"/>
        <item x="8"/>
        <item x="0"/>
        <item x="2"/>
        <item x="5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numFmtId="41" showAll="0"/>
    <pivotField showAl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5"/>
    <field x="13"/>
  </rowFields>
  <rowItems count="13">
    <i>
      <x/>
    </i>
    <i r="1">
      <x v="3"/>
    </i>
    <i r="1">
      <x v="4"/>
    </i>
    <i>
      <x v="1"/>
    </i>
    <i r="1">
      <x v="3"/>
    </i>
    <i>
      <x v="2"/>
    </i>
    <i r="1">
      <x v="2"/>
    </i>
    <i r="1">
      <x v="3"/>
    </i>
    <i>
      <x v="3"/>
    </i>
    <i r="1">
      <x v="2"/>
    </i>
    <i r="1">
      <x v="3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4" hier="-1"/>
  </pageFields>
  <dataFields count="4">
    <dataField name="합계 : 어른" fld="6" baseField="0" baseItem="0"/>
    <dataField name="합계 : 청소년" fld="7" baseField="0" baseItem="0"/>
    <dataField name="합계 : 어린이" fld="8" baseField="0" baseItem="0"/>
    <dataField name="합계 : 유아" fld="9" baseField="0" baseItem="0"/>
  </dataFields>
  <formats count="1">
    <format dxfId="5">
      <pivotArea outline="0" collapsedLevelsAreSubtotals="1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A1:G43" totalsRowShown="0" headerRowDxfId="50" dataDxfId="49">
  <autoFilter ref="A1:G4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000-000001000000}" name="번호" dataDxfId="48"/>
    <tableColumn id="2" xr3:uid="{00000000-0010-0000-0000-000002000000}" name="이름" dataDxfId="47"/>
    <tableColumn id="3" xr3:uid="{00000000-0010-0000-0000-000003000000}" name="아이디" dataDxfId="46"/>
    <tableColumn id="4" xr3:uid="{00000000-0010-0000-0000-000004000000}" name="비밀번호" dataDxfId="45"/>
    <tableColumn id="5" xr3:uid="{00000000-0010-0000-0000-000005000000}" name="생년월일" dataDxfId="44"/>
    <tableColumn id="6" xr3:uid="{00000000-0010-0000-0000-000006000000}" name="전화번호" dataDxfId="43"/>
    <tableColumn id="7" xr3:uid="{00000000-0010-0000-0000-000007000000}" name="이메일" dataDxfId="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표4" displayName="표4" ref="A1:F166" totalsRowShown="0" headerRowDxfId="40" dataDxfId="39">
  <tableColumns count="6">
    <tableColumn id="1" xr3:uid="{00000000-0010-0000-0100-000001000000}" name="경기일" dataDxfId="38"/>
    <tableColumn id="2" xr3:uid="{00000000-0010-0000-0100-000002000000}" name="홈팀" dataDxfId="37"/>
    <tableColumn id="3" xr3:uid="{00000000-0010-0000-0100-000003000000}" name="원정팀" dataDxfId="36"/>
    <tableColumn id="4" xr3:uid="{00000000-0010-0000-0100-000004000000}" name="경기시간" dataDxfId="35"/>
    <tableColumn id="5" xr3:uid="{00000000-0010-0000-0100-000005000000}" name="경기구장" dataDxfId="34"/>
    <tableColumn id="6" xr3:uid="{00000000-0010-0000-0100-000006000000}" name="좌석수" dataDxfId="33">
      <calculatedColumnFormula array="1">VLOOKUP(E2,구장정보!$A$2:$B$10,2,FALSE) - SUM((A2=표3[경기일])*('경기 일정'!D2=표3[경기시간])*('경기 일정'!E2=표3[구장])*표3[인원합])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A1:F121" totalsRowShown="0" headerRowDxfId="31" dataDxfId="30">
  <autoFilter ref="A1:F12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경기일" dataDxfId="29"/>
    <tableColumn id="2" xr3:uid="{00000000-0010-0000-0200-000002000000}" name="홈팀" dataDxfId="28"/>
    <tableColumn id="3" xr3:uid="{00000000-0010-0000-0200-000003000000}" name="점수" dataDxfId="27"/>
    <tableColumn id="4" xr3:uid="{00000000-0010-0000-0200-000004000000}" name="원정팀" dataDxfId="26"/>
    <tableColumn id="5" xr3:uid="{00000000-0010-0000-0200-000005000000}" name=" 점수2" dataDxfId="25"/>
    <tableColumn id="6" xr3:uid="{00000000-0010-0000-0200-000006000000}" name="승패" dataDxfId="24">
      <calculatedColumnFormula>IF(C2&gt;E2,"승",IF(C2&lt;E2,"패","무승부"))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표3" displayName="표3" ref="A1:L37" totalsRowShown="0" headerRowDxfId="22" dataDxfId="21" headerRowCellStyle="쉼표 [0]">
  <autoFilter ref="A1:L37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300-000001000000}" name="결제일" dataDxfId="20"/>
    <tableColumn id="2" xr3:uid="{00000000-0010-0000-0300-000002000000}" name="경기일" dataDxfId="19"/>
    <tableColumn id="3" xr3:uid="{00000000-0010-0000-0300-000003000000}" name="경기시간" dataDxfId="18"/>
    <tableColumn id="4" xr3:uid="{00000000-0010-0000-0300-000004000000}" name="결제자" dataDxfId="17"/>
    <tableColumn id="5" xr3:uid="{00000000-0010-0000-0300-000005000000}" name="구장" dataDxfId="16"/>
    <tableColumn id="6" xr3:uid="{00000000-0010-0000-0300-000006000000}" name="등급" dataDxfId="15"/>
    <tableColumn id="7" xr3:uid="{00000000-0010-0000-0300-000007000000}" name="어른" dataDxfId="14"/>
    <tableColumn id="8" xr3:uid="{00000000-0010-0000-0300-000008000000}" name="청소년" dataDxfId="13"/>
    <tableColumn id="9" xr3:uid="{00000000-0010-0000-0300-000009000000}" name="어린이" dataDxfId="12"/>
    <tableColumn id="10" xr3:uid="{00000000-0010-0000-0300-00000A000000}" name="유아" dataDxfId="11"/>
    <tableColumn id="11" xr3:uid="{00000000-0010-0000-0300-00000B000000}" name="총합" dataDxfId="10" dataCellStyle="쉼표 [0]">
      <calculatedColumnFormula array="1">fn금액(F2,G2,H2,I2,J2)</calculatedColumnFormula>
    </tableColumn>
    <tableColumn id="12" xr3:uid="{00000000-0010-0000-0300-00000C000000}" name="인원합" dataDxfId="9">
      <calculatedColumnFormula>SUM(G2:J2)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/>
  </sheetViews>
  <sheetFormatPr defaultRowHeight="16.5" x14ac:dyDescent="0.3"/>
  <sheetData>
    <row r="1" spans="1:1" x14ac:dyDescent="0.3">
      <c r="A1" s="8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7">
          <controlPr defaultSize="0" autoLine="0" autoPict="0" r:id="rId4">
            <anchor moveWithCells="1">
              <from>
                <xdr:col>7</xdr:col>
                <xdr:colOff>123825</xdr:colOff>
                <xdr:row>14</xdr:row>
                <xdr:rowOff>171450</xdr:rowOff>
              </from>
              <to>
                <xdr:col>10</xdr:col>
                <xdr:colOff>19050</xdr:colOff>
                <xdr:row>16</xdr:row>
                <xdr:rowOff>171450</xdr:rowOff>
              </to>
            </anchor>
          </controlPr>
        </control>
      </mc:Choice>
      <mc:Fallback>
        <control shapeId="1031" r:id="rId3" name="CommandButton7"/>
      </mc:Fallback>
    </mc:AlternateContent>
    <mc:AlternateContent xmlns:mc="http://schemas.openxmlformats.org/markup-compatibility/2006">
      <mc:Choice Requires="x14">
        <control shapeId="1030" r:id="rId5" name="CommandButton6">
          <controlPr defaultSize="0" autoLine="0" autoPict="0" r:id="rId6">
            <anchor moveWithCells="1">
              <from>
                <xdr:col>7</xdr:col>
                <xdr:colOff>123825</xdr:colOff>
                <xdr:row>11</xdr:row>
                <xdr:rowOff>180975</xdr:rowOff>
              </from>
              <to>
                <xdr:col>10</xdr:col>
                <xdr:colOff>19050</xdr:colOff>
                <xdr:row>13</xdr:row>
                <xdr:rowOff>180975</xdr:rowOff>
              </to>
            </anchor>
          </controlPr>
        </control>
      </mc:Choice>
      <mc:Fallback>
        <control shapeId="1030" r:id="rId5" name="CommandButton6"/>
      </mc:Fallback>
    </mc:AlternateContent>
    <mc:AlternateContent xmlns:mc="http://schemas.openxmlformats.org/markup-compatibility/2006">
      <mc:Choice Requires="x14">
        <control shapeId="1029" r:id="rId7" name="CommandButton5">
          <controlPr defaultSize="0" autoLine="0" autoPict="0" r:id="rId8">
            <anchor moveWithCells="1">
              <from>
                <xdr:col>7</xdr:col>
                <xdr:colOff>123825</xdr:colOff>
                <xdr:row>9</xdr:row>
                <xdr:rowOff>19050</xdr:rowOff>
              </from>
              <to>
                <xdr:col>10</xdr:col>
                <xdr:colOff>19050</xdr:colOff>
                <xdr:row>11</xdr:row>
                <xdr:rowOff>19050</xdr:rowOff>
              </to>
            </anchor>
          </controlPr>
        </control>
      </mc:Choice>
      <mc:Fallback>
        <control shapeId="1029" r:id="rId7" name="CommandButton5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disabled="1" autoLine="0" autoPict="0" r:id="rId10">
            <anchor moveWithCells="1">
              <from>
                <xdr:col>3</xdr:col>
                <xdr:colOff>447675</xdr:colOff>
                <xdr:row>14</xdr:row>
                <xdr:rowOff>171450</xdr:rowOff>
              </from>
              <to>
                <xdr:col>6</xdr:col>
                <xdr:colOff>342900</xdr:colOff>
                <xdr:row>16</xdr:row>
                <xdr:rowOff>171450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7" r:id="rId11" name="CommandButton3">
          <controlPr defaultSize="0" disabled="1" autoLine="0" autoPict="0" r:id="rId12">
            <anchor moveWithCells="1">
              <from>
                <xdr:col>3</xdr:col>
                <xdr:colOff>447675</xdr:colOff>
                <xdr:row>11</xdr:row>
                <xdr:rowOff>180975</xdr:rowOff>
              </from>
              <to>
                <xdr:col>6</xdr:col>
                <xdr:colOff>342900</xdr:colOff>
                <xdr:row>13</xdr:row>
                <xdr:rowOff>180975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6" r:id="rId13" name="CommandButton2">
          <controlPr defaultSize="0" disabled="1" autoLine="0" autoPict="0" r:id="rId14">
            <anchor moveWithCells="1">
              <from>
                <xdr:col>3</xdr:col>
                <xdr:colOff>447675</xdr:colOff>
                <xdr:row>9</xdr:row>
                <xdr:rowOff>19050</xdr:rowOff>
              </from>
              <to>
                <xdr:col>6</xdr:col>
                <xdr:colOff>342900</xdr:colOff>
                <xdr:row>11</xdr:row>
                <xdr:rowOff>19050</xdr:rowOff>
              </to>
            </anchor>
          </controlPr>
        </control>
      </mc:Choice>
      <mc:Fallback>
        <control shapeId="1026" r:id="rId13" name="CommandButton2"/>
      </mc:Fallback>
    </mc:AlternateContent>
    <mc:AlternateContent xmlns:mc="http://schemas.openxmlformats.org/markup-compatibility/2006">
      <mc:Choice Requires="x14">
        <control shapeId="1025" r:id="rId15" name="CommandButton1">
          <controlPr defaultSize="0" autoLine="0" r:id="rId16">
            <anchor moveWithCells="1">
              <from>
                <xdr:col>10</xdr:col>
                <xdr:colOff>590550</xdr:colOff>
                <xdr:row>2</xdr:row>
                <xdr:rowOff>190500</xdr:rowOff>
              </from>
              <to>
                <xdr:col>12</xdr:col>
                <xdr:colOff>323850</xdr:colOff>
                <xdr:row>6</xdr:row>
                <xdr:rowOff>114300</xdr:rowOff>
              </to>
            </anchor>
          </controlPr>
        </control>
      </mc:Choice>
      <mc:Fallback>
        <control shapeId="1025" r:id="rId1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"/>
  <sheetViews>
    <sheetView showGridLines="0" topLeftCell="C1" workbookViewId="0">
      <selection activeCell="I2" sqref="I2"/>
    </sheetView>
  </sheetViews>
  <sheetFormatPr defaultRowHeight="16.5" x14ac:dyDescent="0.3"/>
  <cols>
    <col min="1" max="1" width="24.875" style="1" bestFit="1" customWidth="1"/>
    <col min="2" max="2" width="16.5" style="1" bestFit="1" customWidth="1"/>
    <col min="3" max="3" width="11" style="1" bestFit="1" customWidth="1"/>
    <col min="4" max="8" width="9" style="1"/>
    <col min="9" max="9" width="11" style="1" bestFit="1" customWidth="1"/>
    <col min="10" max="10" width="9.375" style="1" bestFit="1" customWidth="1"/>
    <col min="11" max="12" width="9.125" style="1" bestFit="1" customWidth="1"/>
  </cols>
  <sheetData>
    <row r="1" spans="1:12" x14ac:dyDescent="0.3">
      <c r="A1" s="3" t="s">
        <v>1</v>
      </c>
      <c r="B1" s="4" t="s">
        <v>13</v>
      </c>
      <c r="C1" s="4" t="s">
        <v>3</v>
      </c>
      <c r="D1" s="4" t="s">
        <v>5</v>
      </c>
      <c r="E1" s="4" t="s">
        <v>7</v>
      </c>
      <c r="F1" s="4" t="s">
        <v>9</v>
      </c>
      <c r="H1" s="4" t="s">
        <v>10</v>
      </c>
      <c r="I1" s="4" t="s">
        <v>11</v>
      </c>
      <c r="J1" s="4" t="s">
        <v>12</v>
      </c>
      <c r="K1" s="4" t="s">
        <v>7</v>
      </c>
      <c r="L1" s="4" t="s">
        <v>9</v>
      </c>
    </row>
    <row r="2" spans="1:12" x14ac:dyDescent="0.3">
      <c r="A2" s="1" t="s">
        <v>15</v>
      </c>
      <c r="B2" s="1">
        <v>506</v>
      </c>
      <c r="C2" s="1">
        <v>173</v>
      </c>
      <c r="D2" s="1">
        <v>56</v>
      </c>
      <c r="E2" s="1">
        <v>111</v>
      </c>
      <c r="F2" s="1">
        <v>166</v>
      </c>
      <c r="H2" s="1" t="s">
        <v>33</v>
      </c>
      <c r="I2" s="2">
        <v>50000</v>
      </c>
      <c r="J2" s="2">
        <v>100000</v>
      </c>
      <c r="K2" s="2">
        <v>15000</v>
      </c>
      <c r="L2" s="2">
        <v>5000</v>
      </c>
    </row>
    <row r="3" spans="1:12" x14ac:dyDescent="0.3">
      <c r="A3" s="1" t="s">
        <v>17</v>
      </c>
      <c r="B3" s="1">
        <v>342</v>
      </c>
      <c r="C3" s="1">
        <v>147</v>
      </c>
      <c r="D3" s="1">
        <v>40</v>
      </c>
      <c r="E3" s="1">
        <v>124</v>
      </c>
      <c r="F3" s="1">
        <v>31</v>
      </c>
      <c r="H3" s="1" t="s">
        <v>35</v>
      </c>
      <c r="I3" s="2">
        <v>45000</v>
      </c>
      <c r="J3" s="2">
        <v>80000</v>
      </c>
      <c r="K3" s="2">
        <v>10000</v>
      </c>
      <c r="L3" s="2">
        <v>3000</v>
      </c>
    </row>
    <row r="4" spans="1:12" x14ac:dyDescent="0.3">
      <c r="A4" s="1" t="s">
        <v>19</v>
      </c>
      <c r="B4" s="1">
        <v>435</v>
      </c>
      <c r="C4" s="1">
        <v>169</v>
      </c>
      <c r="D4" s="1">
        <v>1</v>
      </c>
      <c r="E4" s="1">
        <v>74</v>
      </c>
      <c r="F4" s="1">
        <v>191</v>
      </c>
      <c r="H4" s="1" t="s">
        <v>37</v>
      </c>
      <c r="I4" s="2">
        <v>30000</v>
      </c>
      <c r="J4" s="2">
        <v>50000</v>
      </c>
      <c r="K4" s="2">
        <v>5000</v>
      </c>
      <c r="L4" s="2">
        <v>1000</v>
      </c>
    </row>
    <row r="5" spans="1:12" x14ac:dyDescent="0.3">
      <c r="A5" s="1" t="s">
        <v>21</v>
      </c>
      <c r="B5" s="1">
        <v>326</v>
      </c>
      <c r="C5" s="1">
        <v>133</v>
      </c>
      <c r="D5" s="1">
        <v>155</v>
      </c>
      <c r="E5" s="1">
        <v>15</v>
      </c>
      <c r="F5" s="1">
        <v>23</v>
      </c>
      <c r="H5" s="1" t="s">
        <v>39</v>
      </c>
      <c r="I5" s="2">
        <v>30000</v>
      </c>
      <c r="J5" s="2">
        <v>30000</v>
      </c>
      <c r="K5" s="2">
        <v>3000</v>
      </c>
      <c r="L5" s="2">
        <v>500</v>
      </c>
    </row>
    <row r="6" spans="1:12" x14ac:dyDescent="0.3">
      <c r="A6" s="1" t="s">
        <v>23</v>
      </c>
      <c r="B6" s="1">
        <v>371</v>
      </c>
      <c r="C6" s="1">
        <v>57</v>
      </c>
      <c r="D6" s="1">
        <v>86</v>
      </c>
      <c r="E6" s="1">
        <v>91</v>
      </c>
      <c r="F6" s="1">
        <v>137</v>
      </c>
    </row>
    <row r="7" spans="1:12" x14ac:dyDescent="0.3">
      <c r="A7" s="1" t="s">
        <v>25</v>
      </c>
      <c r="B7" s="1">
        <v>544</v>
      </c>
      <c r="C7" s="1">
        <v>172</v>
      </c>
      <c r="D7" s="1">
        <v>132</v>
      </c>
      <c r="E7" s="1">
        <v>52</v>
      </c>
      <c r="F7" s="1">
        <v>188</v>
      </c>
    </row>
    <row r="8" spans="1:12" x14ac:dyDescent="0.3">
      <c r="A8" s="1" t="s">
        <v>27</v>
      </c>
      <c r="B8" s="1">
        <v>254</v>
      </c>
      <c r="C8" s="1">
        <v>22</v>
      </c>
      <c r="D8" s="1">
        <v>197</v>
      </c>
      <c r="E8" s="1">
        <v>9</v>
      </c>
      <c r="F8" s="1">
        <v>26</v>
      </c>
    </row>
    <row r="9" spans="1:12" x14ac:dyDescent="0.3">
      <c r="A9" s="1" t="s">
        <v>29</v>
      </c>
      <c r="B9" s="1">
        <v>447</v>
      </c>
      <c r="C9" s="1">
        <v>60</v>
      </c>
      <c r="D9" s="1">
        <v>145</v>
      </c>
      <c r="E9" s="1">
        <v>111</v>
      </c>
      <c r="F9" s="1">
        <v>131</v>
      </c>
    </row>
    <row r="10" spans="1:12" x14ac:dyDescent="0.3">
      <c r="A10" s="1" t="s">
        <v>31</v>
      </c>
      <c r="B10" s="1">
        <v>135</v>
      </c>
      <c r="C10" s="1">
        <v>86</v>
      </c>
      <c r="D10" s="1">
        <v>28</v>
      </c>
      <c r="E10" s="1">
        <v>19</v>
      </c>
      <c r="F10" s="1">
        <v>2</v>
      </c>
    </row>
  </sheetData>
  <phoneticPr fontId="3" type="noConversion"/>
  <conditionalFormatting sqref="A1:L1048576">
    <cfRule type="expression" dxfId="53" priority="1">
      <formula>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3"/>
  <sheetViews>
    <sheetView showGridLines="0" workbookViewId="0">
      <selection activeCell="E33" sqref="E33"/>
    </sheetView>
  </sheetViews>
  <sheetFormatPr defaultRowHeight="16.5" x14ac:dyDescent="0.3"/>
  <cols>
    <col min="1" max="1" width="9" style="1" customWidth="1"/>
    <col min="2" max="3" width="9" style="1"/>
    <col min="4" max="4" width="14.125" style="1" bestFit="1" customWidth="1"/>
    <col min="5" max="5" width="11.125" style="1" bestFit="1" customWidth="1"/>
    <col min="6" max="6" width="14.375" style="1" bestFit="1" customWidth="1"/>
    <col min="7" max="7" width="21.125" style="1" bestFit="1" customWidth="1"/>
  </cols>
  <sheetData>
    <row r="1" spans="1:7" x14ac:dyDescent="0.3">
      <c r="A1" s="3" t="s">
        <v>40</v>
      </c>
      <c r="B1" s="4" t="s">
        <v>41</v>
      </c>
      <c r="C1" s="4" t="s">
        <v>42</v>
      </c>
      <c r="D1" s="4" t="s">
        <v>43</v>
      </c>
      <c r="E1" s="4" t="s">
        <v>44</v>
      </c>
      <c r="F1" s="4" t="s">
        <v>45</v>
      </c>
      <c r="G1" s="4" t="s">
        <v>46</v>
      </c>
    </row>
    <row r="2" spans="1:7" x14ac:dyDescent="0.3">
      <c r="A2" s="1" t="s">
        <v>40</v>
      </c>
      <c r="B2" s="1" t="s">
        <v>41</v>
      </c>
      <c r="C2" s="1" t="s">
        <v>42</v>
      </c>
      <c r="D2" s="1" t="s">
        <v>43</v>
      </c>
      <c r="E2" s="6" t="s">
        <v>44</v>
      </c>
      <c r="F2" s="1" t="s">
        <v>45</v>
      </c>
      <c r="G2" s="1" t="s">
        <v>46</v>
      </c>
    </row>
    <row r="3" spans="1:7" x14ac:dyDescent="0.3">
      <c r="A3" s="1">
        <v>1</v>
      </c>
      <c r="B3" s="1" t="s">
        <v>47</v>
      </c>
      <c r="C3" s="1" t="s">
        <v>48</v>
      </c>
      <c r="D3" s="1" t="s">
        <v>330</v>
      </c>
      <c r="E3" s="6">
        <v>37110</v>
      </c>
      <c r="F3" s="1" t="s">
        <v>331</v>
      </c>
      <c r="G3" s="1" t="s">
        <v>332</v>
      </c>
    </row>
    <row r="4" spans="1:7" x14ac:dyDescent="0.3">
      <c r="A4" s="1">
        <v>2</v>
      </c>
      <c r="B4" s="1" t="s">
        <v>49</v>
      </c>
      <c r="C4" s="1" t="s">
        <v>50</v>
      </c>
      <c r="D4" s="1" t="s">
        <v>51</v>
      </c>
      <c r="E4" s="6">
        <v>28368</v>
      </c>
      <c r="F4" s="1" t="s">
        <v>52</v>
      </c>
      <c r="G4" s="1" t="s">
        <v>53</v>
      </c>
    </row>
    <row r="5" spans="1:7" x14ac:dyDescent="0.3">
      <c r="A5" s="1">
        <v>3</v>
      </c>
      <c r="B5" s="1" t="s">
        <v>54</v>
      </c>
      <c r="C5" s="1" t="s">
        <v>55</v>
      </c>
      <c r="D5" s="1" t="s">
        <v>56</v>
      </c>
      <c r="E5" s="6">
        <v>42202</v>
      </c>
      <c r="F5" s="1" t="s">
        <v>57</v>
      </c>
      <c r="G5" s="1" t="s">
        <v>58</v>
      </c>
    </row>
    <row r="6" spans="1:7" x14ac:dyDescent="0.3">
      <c r="A6" s="1">
        <v>4</v>
      </c>
      <c r="B6" s="1" t="s">
        <v>59</v>
      </c>
      <c r="C6" s="1" t="s">
        <v>60</v>
      </c>
      <c r="D6" s="1" t="s">
        <v>61</v>
      </c>
      <c r="E6" s="6">
        <v>29298</v>
      </c>
      <c r="F6" s="1" t="s">
        <v>62</v>
      </c>
      <c r="G6" s="1" t="s">
        <v>63</v>
      </c>
    </row>
    <row r="7" spans="1:7" x14ac:dyDescent="0.3">
      <c r="A7" s="1">
        <v>5</v>
      </c>
      <c r="B7" s="1" t="s">
        <v>64</v>
      </c>
      <c r="C7" s="1" t="s">
        <v>65</v>
      </c>
      <c r="D7" s="1" t="s">
        <v>66</v>
      </c>
      <c r="E7" s="6">
        <v>23245</v>
      </c>
      <c r="F7" s="1" t="s">
        <v>67</v>
      </c>
      <c r="G7" s="1" t="s">
        <v>68</v>
      </c>
    </row>
    <row r="8" spans="1:7" x14ac:dyDescent="0.3">
      <c r="A8" s="1">
        <v>6</v>
      </c>
      <c r="B8" s="1" t="s">
        <v>69</v>
      </c>
      <c r="C8" s="1" t="s">
        <v>70</v>
      </c>
      <c r="D8" s="1" t="s">
        <v>71</v>
      </c>
      <c r="E8" s="6">
        <v>37465</v>
      </c>
      <c r="F8" s="1" t="s">
        <v>72</v>
      </c>
      <c r="G8" s="1" t="s">
        <v>73</v>
      </c>
    </row>
    <row r="9" spans="1:7" x14ac:dyDescent="0.3">
      <c r="A9" s="1">
        <v>7</v>
      </c>
      <c r="B9" s="1" t="s">
        <v>74</v>
      </c>
      <c r="C9" s="1" t="s">
        <v>75</v>
      </c>
      <c r="D9" s="1" t="s">
        <v>76</v>
      </c>
      <c r="E9" s="6">
        <v>33741</v>
      </c>
      <c r="F9" s="1" t="s">
        <v>77</v>
      </c>
      <c r="G9" s="1" t="s">
        <v>78</v>
      </c>
    </row>
    <row r="10" spans="1:7" x14ac:dyDescent="0.3">
      <c r="A10" s="1">
        <v>8</v>
      </c>
      <c r="B10" s="1" t="s">
        <v>79</v>
      </c>
      <c r="C10" s="1" t="s">
        <v>80</v>
      </c>
      <c r="D10" s="1" t="s">
        <v>81</v>
      </c>
      <c r="E10" s="6">
        <v>24517</v>
      </c>
      <c r="F10" s="1" t="s">
        <v>82</v>
      </c>
      <c r="G10" s="1" t="s">
        <v>83</v>
      </c>
    </row>
    <row r="11" spans="1:7" x14ac:dyDescent="0.3">
      <c r="A11" s="1">
        <v>9</v>
      </c>
      <c r="B11" s="1" t="s">
        <v>84</v>
      </c>
      <c r="C11" s="1" t="s">
        <v>85</v>
      </c>
      <c r="D11" s="1" t="s">
        <v>86</v>
      </c>
      <c r="E11" s="6">
        <v>33861</v>
      </c>
      <c r="F11" s="1" t="s">
        <v>87</v>
      </c>
      <c r="G11" s="1" t="s">
        <v>88</v>
      </c>
    </row>
    <row r="12" spans="1:7" x14ac:dyDescent="0.3">
      <c r="A12" s="1">
        <v>10</v>
      </c>
      <c r="B12" s="1" t="s">
        <v>89</v>
      </c>
      <c r="C12" s="1" t="s">
        <v>90</v>
      </c>
      <c r="D12" s="1" t="s">
        <v>91</v>
      </c>
      <c r="E12" s="6">
        <v>26745</v>
      </c>
      <c r="F12" s="1" t="s">
        <v>92</v>
      </c>
      <c r="G12" s="1" t="s">
        <v>93</v>
      </c>
    </row>
    <row r="13" spans="1:7" x14ac:dyDescent="0.3">
      <c r="A13" s="1">
        <v>11</v>
      </c>
      <c r="B13" s="1" t="s">
        <v>94</v>
      </c>
      <c r="C13" s="1" t="s">
        <v>95</v>
      </c>
      <c r="D13" s="1" t="s">
        <v>96</v>
      </c>
      <c r="E13" s="6">
        <v>27478</v>
      </c>
      <c r="F13" s="1" t="s">
        <v>97</v>
      </c>
      <c r="G13" s="1" t="s">
        <v>98</v>
      </c>
    </row>
    <row r="14" spans="1:7" x14ac:dyDescent="0.3">
      <c r="A14" s="1">
        <v>12</v>
      </c>
      <c r="B14" s="1" t="s">
        <v>99</v>
      </c>
      <c r="C14" s="1" t="s">
        <v>100</v>
      </c>
      <c r="D14" s="1" t="s">
        <v>101</v>
      </c>
      <c r="E14" s="6">
        <v>42769</v>
      </c>
      <c r="F14" s="1" t="s">
        <v>102</v>
      </c>
      <c r="G14" s="1" t="s">
        <v>103</v>
      </c>
    </row>
    <row r="15" spans="1:7" x14ac:dyDescent="0.3">
      <c r="A15" s="1">
        <v>13</v>
      </c>
      <c r="B15" s="1" t="s">
        <v>104</v>
      </c>
      <c r="C15" s="1" t="s">
        <v>105</v>
      </c>
      <c r="D15" s="1" t="s">
        <v>106</v>
      </c>
      <c r="E15" s="6">
        <v>37135</v>
      </c>
      <c r="F15" s="1" t="s">
        <v>107</v>
      </c>
      <c r="G15" s="1" t="s">
        <v>108</v>
      </c>
    </row>
    <row r="16" spans="1:7" x14ac:dyDescent="0.3">
      <c r="A16" s="1">
        <v>14</v>
      </c>
      <c r="B16" s="1" t="s">
        <v>109</v>
      </c>
      <c r="C16" s="1" t="s">
        <v>110</v>
      </c>
      <c r="D16" s="1" t="s">
        <v>111</v>
      </c>
      <c r="E16" s="6">
        <v>38504</v>
      </c>
      <c r="F16" s="1" t="s">
        <v>112</v>
      </c>
      <c r="G16" s="1" t="s">
        <v>113</v>
      </c>
    </row>
    <row r="17" spans="1:7" x14ac:dyDescent="0.3">
      <c r="A17" s="1">
        <v>15</v>
      </c>
      <c r="B17" s="1" t="s">
        <v>114</v>
      </c>
      <c r="C17" s="1" t="s">
        <v>115</v>
      </c>
      <c r="D17" s="1" t="s">
        <v>116</v>
      </c>
      <c r="E17" s="6">
        <v>28512</v>
      </c>
      <c r="F17" s="1" t="s">
        <v>117</v>
      </c>
      <c r="G17" s="1" t="s">
        <v>118</v>
      </c>
    </row>
    <row r="18" spans="1:7" x14ac:dyDescent="0.3">
      <c r="A18" s="1">
        <v>16</v>
      </c>
      <c r="B18" s="1" t="s">
        <v>119</v>
      </c>
      <c r="C18" s="1" t="s">
        <v>120</v>
      </c>
      <c r="D18" s="1" t="s">
        <v>121</v>
      </c>
      <c r="E18" s="6">
        <v>41153</v>
      </c>
      <c r="F18" s="1" t="s">
        <v>122</v>
      </c>
      <c r="G18" s="1" t="s">
        <v>123</v>
      </c>
    </row>
    <row r="19" spans="1:7" x14ac:dyDescent="0.3">
      <c r="A19" s="1">
        <v>17</v>
      </c>
      <c r="B19" s="1" t="s">
        <v>124</v>
      </c>
      <c r="C19" s="1" t="s">
        <v>125</v>
      </c>
      <c r="D19" s="1" t="s">
        <v>126</v>
      </c>
      <c r="E19" s="6">
        <v>25069</v>
      </c>
      <c r="F19" s="1" t="s">
        <v>127</v>
      </c>
      <c r="G19" s="1" t="s">
        <v>128</v>
      </c>
    </row>
    <row r="20" spans="1:7" x14ac:dyDescent="0.3">
      <c r="A20" s="1">
        <v>18</v>
      </c>
      <c r="B20" s="1" t="s">
        <v>129</v>
      </c>
      <c r="C20" s="1" t="s">
        <v>130</v>
      </c>
      <c r="D20" s="1" t="s">
        <v>131</v>
      </c>
      <c r="E20" s="6">
        <v>28937</v>
      </c>
      <c r="F20" s="1" t="s">
        <v>132</v>
      </c>
      <c r="G20" s="1" t="s">
        <v>133</v>
      </c>
    </row>
    <row r="21" spans="1:7" x14ac:dyDescent="0.3">
      <c r="A21" s="1">
        <v>19</v>
      </c>
      <c r="B21" s="1" t="s">
        <v>134</v>
      </c>
      <c r="C21" s="1" t="s">
        <v>135</v>
      </c>
      <c r="D21" s="1" t="s">
        <v>136</v>
      </c>
      <c r="E21" s="6">
        <v>36353</v>
      </c>
      <c r="F21" s="1" t="s">
        <v>137</v>
      </c>
      <c r="G21" s="1" t="s">
        <v>138</v>
      </c>
    </row>
    <row r="22" spans="1:7" x14ac:dyDescent="0.3">
      <c r="A22" s="1">
        <v>20</v>
      </c>
      <c r="B22" s="1" t="s">
        <v>139</v>
      </c>
      <c r="C22" s="1" t="s">
        <v>140</v>
      </c>
      <c r="D22" s="1" t="s">
        <v>141</v>
      </c>
      <c r="E22" s="6">
        <v>33189</v>
      </c>
      <c r="F22" s="1" t="s">
        <v>142</v>
      </c>
      <c r="G22" s="1" t="s">
        <v>143</v>
      </c>
    </row>
    <row r="23" spans="1:7" x14ac:dyDescent="0.3">
      <c r="A23" s="1">
        <v>21</v>
      </c>
      <c r="B23" s="1" t="s">
        <v>144</v>
      </c>
      <c r="C23" s="1" t="s">
        <v>145</v>
      </c>
      <c r="D23" s="1" t="s">
        <v>146</v>
      </c>
      <c r="E23" s="6">
        <v>36298</v>
      </c>
      <c r="F23" s="1" t="s">
        <v>147</v>
      </c>
      <c r="G23" s="1" t="s">
        <v>148</v>
      </c>
    </row>
    <row r="24" spans="1:7" x14ac:dyDescent="0.3">
      <c r="A24" s="1">
        <v>22</v>
      </c>
      <c r="B24" s="1" t="s">
        <v>149</v>
      </c>
      <c r="C24" s="1" t="s">
        <v>150</v>
      </c>
      <c r="D24" s="1" t="s">
        <v>151</v>
      </c>
      <c r="E24" s="6">
        <v>29527</v>
      </c>
      <c r="F24" s="1" t="s">
        <v>152</v>
      </c>
      <c r="G24" s="1" t="s">
        <v>153</v>
      </c>
    </row>
    <row r="25" spans="1:7" x14ac:dyDescent="0.3">
      <c r="A25" s="1">
        <v>23</v>
      </c>
      <c r="B25" s="1" t="s">
        <v>154</v>
      </c>
      <c r="C25" s="1" t="s">
        <v>155</v>
      </c>
      <c r="D25" s="1" t="s">
        <v>156</v>
      </c>
      <c r="E25" s="6">
        <v>29023</v>
      </c>
      <c r="F25" s="1" t="s">
        <v>157</v>
      </c>
      <c r="G25" s="1" t="s">
        <v>158</v>
      </c>
    </row>
    <row r="26" spans="1:7" x14ac:dyDescent="0.3">
      <c r="A26" s="1">
        <v>24</v>
      </c>
      <c r="B26" s="1" t="s">
        <v>159</v>
      </c>
      <c r="C26" s="1" t="s">
        <v>160</v>
      </c>
      <c r="D26" s="1" t="s">
        <v>161</v>
      </c>
      <c r="E26" s="6">
        <v>34151</v>
      </c>
      <c r="F26" s="1" t="s">
        <v>162</v>
      </c>
      <c r="G26" s="1" t="s">
        <v>163</v>
      </c>
    </row>
    <row r="27" spans="1:7" x14ac:dyDescent="0.3">
      <c r="A27" s="1">
        <v>25</v>
      </c>
      <c r="B27" s="1" t="s">
        <v>164</v>
      </c>
      <c r="C27" s="1" t="s">
        <v>165</v>
      </c>
      <c r="D27" s="1" t="s">
        <v>166</v>
      </c>
      <c r="E27" s="6">
        <v>26187</v>
      </c>
      <c r="F27" s="1" t="s">
        <v>167</v>
      </c>
      <c r="G27" s="1" t="s">
        <v>168</v>
      </c>
    </row>
    <row r="28" spans="1:7" x14ac:dyDescent="0.3">
      <c r="A28" s="1">
        <v>26</v>
      </c>
      <c r="B28" s="1" t="s">
        <v>169</v>
      </c>
      <c r="C28" s="1" t="s">
        <v>170</v>
      </c>
      <c r="D28" s="1" t="s">
        <v>171</v>
      </c>
      <c r="E28" s="6">
        <v>36974</v>
      </c>
      <c r="F28" s="1" t="s">
        <v>172</v>
      </c>
      <c r="G28" s="1" t="s">
        <v>173</v>
      </c>
    </row>
    <row r="29" spans="1:7" x14ac:dyDescent="0.3">
      <c r="A29" s="1">
        <v>27</v>
      </c>
      <c r="B29" s="1" t="s">
        <v>174</v>
      </c>
      <c r="C29" s="1" t="s">
        <v>175</v>
      </c>
      <c r="D29" s="1" t="s">
        <v>176</v>
      </c>
      <c r="E29" s="6">
        <v>24486</v>
      </c>
      <c r="F29" s="1" t="s">
        <v>177</v>
      </c>
      <c r="G29" s="1" t="s">
        <v>178</v>
      </c>
    </row>
    <row r="30" spans="1:7" x14ac:dyDescent="0.3">
      <c r="A30" s="1">
        <v>28</v>
      </c>
      <c r="B30" s="1" t="s">
        <v>179</v>
      </c>
      <c r="C30" s="1" t="s">
        <v>180</v>
      </c>
      <c r="D30" s="1" t="s">
        <v>181</v>
      </c>
      <c r="E30" s="6">
        <v>26078</v>
      </c>
      <c r="F30" s="1" t="s">
        <v>182</v>
      </c>
      <c r="G30" s="1" t="s">
        <v>183</v>
      </c>
    </row>
    <row r="31" spans="1:7" x14ac:dyDescent="0.3">
      <c r="A31" s="1">
        <v>29</v>
      </c>
      <c r="B31" s="1" t="s">
        <v>59</v>
      </c>
      <c r="C31" s="1" t="s">
        <v>184</v>
      </c>
      <c r="D31" s="1" t="s">
        <v>185</v>
      </c>
      <c r="E31" s="6">
        <v>26034</v>
      </c>
      <c r="F31" s="1" t="s">
        <v>186</v>
      </c>
      <c r="G31" s="1" t="s">
        <v>187</v>
      </c>
    </row>
    <row r="32" spans="1:7" x14ac:dyDescent="0.3">
      <c r="A32" s="1">
        <v>30</v>
      </c>
      <c r="B32" s="1" t="s">
        <v>188</v>
      </c>
      <c r="C32" s="1" t="s">
        <v>189</v>
      </c>
      <c r="D32" s="1" t="s">
        <v>190</v>
      </c>
      <c r="E32" s="6">
        <v>24349</v>
      </c>
      <c r="F32" s="1" t="s">
        <v>191</v>
      </c>
      <c r="G32" s="1" t="s">
        <v>192</v>
      </c>
    </row>
    <row r="33" spans="1:7" x14ac:dyDescent="0.3">
      <c r="A33" s="1">
        <v>31</v>
      </c>
      <c r="B33" s="1" t="s">
        <v>193</v>
      </c>
      <c r="C33" s="1" t="s">
        <v>194</v>
      </c>
      <c r="D33" s="1" t="s">
        <v>195</v>
      </c>
      <c r="E33" s="6">
        <v>39704</v>
      </c>
      <c r="F33" s="1" t="s">
        <v>196</v>
      </c>
      <c r="G33" s="1" t="s">
        <v>197</v>
      </c>
    </row>
    <row r="34" spans="1:7" x14ac:dyDescent="0.3">
      <c r="A34" s="1">
        <v>32</v>
      </c>
      <c r="B34" s="1" t="s">
        <v>198</v>
      </c>
      <c r="C34" s="1" t="s">
        <v>199</v>
      </c>
      <c r="D34" s="1" t="s">
        <v>200</v>
      </c>
      <c r="E34" s="6">
        <v>38631</v>
      </c>
      <c r="F34" s="1" t="s">
        <v>201</v>
      </c>
      <c r="G34" s="1" t="s">
        <v>202</v>
      </c>
    </row>
    <row r="35" spans="1:7" x14ac:dyDescent="0.3">
      <c r="A35" s="1">
        <v>33</v>
      </c>
      <c r="B35" s="1" t="s">
        <v>203</v>
      </c>
      <c r="C35" s="1" t="s">
        <v>204</v>
      </c>
      <c r="D35" s="1" t="s">
        <v>205</v>
      </c>
      <c r="E35" s="6">
        <v>28104</v>
      </c>
      <c r="F35" s="1" t="s">
        <v>206</v>
      </c>
      <c r="G35" s="1" t="s">
        <v>207</v>
      </c>
    </row>
    <row r="36" spans="1:7" x14ac:dyDescent="0.3">
      <c r="A36" s="1">
        <v>34</v>
      </c>
      <c r="B36" s="1" t="s">
        <v>208</v>
      </c>
      <c r="C36" s="1" t="s">
        <v>209</v>
      </c>
      <c r="D36" s="1" t="s">
        <v>210</v>
      </c>
      <c r="E36" s="6">
        <v>37235</v>
      </c>
      <c r="F36" s="1" t="s">
        <v>211</v>
      </c>
      <c r="G36" s="1" t="s">
        <v>212</v>
      </c>
    </row>
    <row r="37" spans="1:7" x14ac:dyDescent="0.3">
      <c r="A37" s="1">
        <v>35</v>
      </c>
      <c r="B37" s="1" t="s">
        <v>213</v>
      </c>
      <c r="C37" s="1" t="s">
        <v>214</v>
      </c>
      <c r="D37" s="1" t="s">
        <v>215</v>
      </c>
      <c r="E37" s="6">
        <v>34239</v>
      </c>
      <c r="F37" s="1" t="s">
        <v>216</v>
      </c>
      <c r="G37" s="1" t="s">
        <v>217</v>
      </c>
    </row>
    <row r="38" spans="1:7" x14ac:dyDescent="0.3">
      <c r="A38" s="1">
        <v>36</v>
      </c>
      <c r="B38" s="1" t="s">
        <v>218</v>
      </c>
      <c r="C38" s="1" t="s">
        <v>219</v>
      </c>
      <c r="D38" s="1" t="s">
        <v>220</v>
      </c>
      <c r="E38" s="6">
        <v>32936</v>
      </c>
      <c r="F38" s="1" t="s">
        <v>221</v>
      </c>
      <c r="G38" s="1" t="s">
        <v>222</v>
      </c>
    </row>
    <row r="39" spans="1:7" x14ac:dyDescent="0.3">
      <c r="A39" s="1">
        <v>37</v>
      </c>
      <c r="B39" s="1" t="s">
        <v>223</v>
      </c>
      <c r="C39" s="1" t="s">
        <v>224</v>
      </c>
      <c r="D39" s="1" t="s">
        <v>225</v>
      </c>
      <c r="E39" s="6">
        <v>28788</v>
      </c>
      <c r="F39" s="1" t="s">
        <v>226</v>
      </c>
      <c r="G39" s="1" t="s">
        <v>227</v>
      </c>
    </row>
    <row r="40" spans="1:7" x14ac:dyDescent="0.3">
      <c r="A40" s="1">
        <v>38</v>
      </c>
      <c r="B40" s="1" t="s">
        <v>228</v>
      </c>
      <c r="C40" s="1" t="s">
        <v>229</v>
      </c>
      <c r="D40" s="1" t="s">
        <v>230</v>
      </c>
      <c r="E40" s="6">
        <v>41550</v>
      </c>
      <c r="F40" s="1" t="s">
        <v>231</v>
      </c>
      <c r="G40" s="1" t="s">
        <v>232</v>
      </c>
    </row>
    <row r="41" spans="1:7" x14ac:dyDescent="0.3">
      <c r="A41" s="1">
        <v>39</v>
      </c>
      <c r="B41" s="1" t="s">
        <v>233</v>
      </c>
      <c r="C41" s="1" t="s">
        <v>234</v>
      </c>
      <c r="D41" s="1" t="s">
        <v>235</v>
      </c>
      <c r="E41" s="6">
        <v>38544</v>
      </c>
      <c r="F41" s="1" t="s">
        <v>236</v>
      </c>
      <c r="G41" s="1" t="s">
        <v>237</v>
      </c>
    </row>
    <row r="42" spans="1:7" x14ac:dyDescent="0.3">
      <c r="A42" s="1">
        <v>40</v>
      </c>
      <c r="B42" s="1" t="s">
        <v>238</v>
      </c>
      <c r="C42" s="1" t="s">
        <v>239</v>
      </c>
      <c r="D42" s="1" t="s">
        <v>240</v>
      </c>
      <c r="E42" s="6">
        <v>40342</v>
      </c>
      <c r="F42" s="1" t="s">
        <v>241</v>
      </c>
      <c r="G42" s="1" t="s">
        <v>242</v>
      </c>
    </row>
    <row r="43" spans="1:7" x14ac:dyDescent="0.3">
      <c r="A43" s="1">
        <v>41</v>
      </c>
      <c r="B43" s="1" t="s">
        <v>243</v>
      </c>
      <c r="C43" s="1" t="s">
        <v>244</v>
      </c>
      <c r="D43" s="1" t="s">
        <v>245</v>
      </c>
      <c r="E43" s="6">
        <v>31123</v>
      </c>
      <c r="F43" s="1" t="s">
        <v>246</v>
      </c>
      <c r="G43" s="1" t="s">
        <v>247</v>
      </c>
    </row>
  </sheetData>
  <phoneticPr fontId="3" type="noConversion"/>
  <conditionalFormatting sqref="A1:G1 A2:F2 A3:G1048576">
    <cfRule type="expression" dxfId="52" priority="2">
      <formula>A1&lt;&gt;""</formula>
    </cfRule>
  </conditionalFormatting>
  <conditionalFormatting sqref="G2">
    <cfRule type="expression" dxfId="51" priority="1">
      <formula>G2&lt;&gt;""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7"/>
  <sheetViews>
    <sheetView showGridLines="0" workbookViewId="0">
      <selection activeCell="G37" sqref="G37"/>
    </sheetView>
  </sheetViews>
  <sheetFormatPr defaultRowHeight="16.5" x14ac:dyDescent="0.3"/>
  <cols>
    <col min="1" max="1" width="11.125" style="1" bestFit="1" customWidth="1"/>
    <col min="2" max="3" width="13.75" style="1" bestFit="1" customWidth="1"/>
    <col min="4" max="4" width="10.25" style="1" customWidth="1"/>
    <col min="5" max="5" width="24.875" style="1" bestFit="1" customWidth="1"/>
  </cols>
  <sheetData>
    <row r="1" spans="1:6" x14ac:dyDescent="0.3">
      <c r="A1" s="3" t="s">
        <v>248</v>
      </c>
      <c r="B1" s="4" t="s">
        <v>249</v>
      </c>
      <c r="C1" s="4" t="s">
        <v>250</v>
      </c>
      <c r="D1" s="4" t="s">
        <v>251</v>
      </c>
      <c r="E1" s="4" t="s">
        <v>252</v>
      </c>
      <c r="F1" s="8" t="s">
        <v>274</v>
      </c>
    </row>
    <row r="2" spans="1:6" x14ac:dyDescent="0.3">
      <c r="A2" s="6">
        <v>43466</v>
      </c>
      <c r="B2" s="1" t="s">
        <v>253</v>
      </c>
      <c r="C2" s="1" t="s">
        <v>254</v>
      </c>
      <c r="D2" s="1" t="s">
        <v>255</v>
      </c>
      <c r="E2" s="1" t="s">
        <v>14</v>
      </c>
      <c r="F2" s="8">
        <f t="array" ref="F2">VLOOKUP(E2,구장정보!$A$2:$B$10,2,FALSE) - SUM((A2=표3[경기일])*('경기 일정'!D2=표3[경기시간])*('경기 일정'!E2=표3[구장])*표3[인원합])</f>
        <v>506</v>
      </c>
    </row>
    <row r="3" spans="1:6" x14ac:dyDescent="0.3">
      <c r="A3" s="6">
        <v>43470</v>
      </c>
      <c r="B3" s="1" t="s">
        <v>256</v>
      </c>
      <c r="C3" s="1" t="s">
        <v>253</v>
      </c>
      <c r="D3" s="1" t="s">
        <v>257</v>
      </c>
      <c r="E3" s="1" t="s">
        <v>26</v>
      </c>
      <c r="F3" s="8">
        <f t="array" ref="F3">VLOOKUP(E3,구장정보!$A$2:$B$10,2,FALSE) - SUM((A3=표3[경기일])*('경기 일정'!D3=표3[경기시간])*('경기 일정'!E3=표3[구장])*표3[인원합])</f>
        <v>254</v>
      </c>
    </row>
    <row r="4" spans="1:6" x14ac:dyDescent="0.3">
      <c r="A4" s="6">
        <v>43475</v>
      </c>
      <c r="B4" s="1" t="s">
        <v>258</v>
      </c>
      <c r="C4" s="1" t="s">
        <v>259</v>
      </c>
      <c r="D4" s="1" t="s">
        <v>260</v>
      </c>
      <c r="E4" s="1" t="s">
        <v>18</v>
      </c>
      <c r="F4" s="8">
        <f t="array" ref="F4">VLOOKUP(E4,구장정보!$A$2:$B$10,2,FALSE) - SUM((A4=표3[경기일])*('경기 일정'!D4=표3[경기시간])*('경기 일정'!E4=표3[구장])*표3[인원합])</f>
        <v>435</v>
      </c>
    </row>
    <row r="5" spans="1:6" x14ac:dyDescent="0.3">
      <c r="A5" s="6">
        <v>43477</v>
      </c>
      <c r="B5" s="1" t="s">
        <v>261</v>
      </c>
      <c r="C5" s="1" t="s">
        <v>262</v>
      </c>
      <c r="D5" s="1" t="s">
        <v>257</v>
      </c>
      <c r="E5" s="1" t="s">
        <v>20</v>
      </c>
      <c r="F5" s="8">
        <f t="array" ref="F5">VLOOKUP(E5,구장정보!$A$2:$B$10,2,FALSE) - SUM((A5=표3[경기일])*('경기 일정'!D5=표3[경기시간])*('경기 일정'!E5=표3[구장])*표3[인원합])</f>
        <v>326</v>
      </c>
    </row>
    <row r="6" spans="1:6" x14ac:dyDescent="0.3">
      <c r="A6" s="6">
        <v>43487</v>
      </c>
      <c r="B6" s="1" t="s">
        <v>263</v>
      </c>
      <c r="C6" s="1" t="s">
        <v>264</v>
      </c>
      <c r="D6" s="1" t="s">
        <v>255</v>
      </c>
      <c r="E6" s="1" t="s">
        <v>22</v>
      </c>
      <c r="F6" s="8">
        <f t="array" ref="F6">VLOOKUP(E6,구장정보!$A$2:$B$10,2,FALSE) - SUM((A6=표3[경기일])*('경기 일정'!D6=표3[경기시간])*('경기 일정'!E6=표3[구장])*표3[인원합])</f>
        <v>371</v>
      </c>
    </row>
    <row r="7" spans="1:6" x14ac:dyDescent="0.3">
      <c r="A7" s="6">
        <v>43497</v>
      </c>
      <c r="B7" s="1" t="s">
        <v>256</v>
      </c>
      <c r="C7" s="1" t="s">
        <v>263</v>
      </c>
      <c r="D7" s="1" t="s">
        <v>257</v>
      </c>
      <c r="E7" s="1" t="s">
        <v>26</v>
      </c>
      <c r="F7" s="8">
        <f t="array" ref="F7">VLOOKUP(E7,구장정보!$A$2:$B$10,2,FALSE) - SUM((A7=표3[경기일])*('경기 일정'!D7=표3[경기시간])*('경기 일정'!E7=표3[구장])*표3[인원합])</f>
        <v>254</v>
      </c>
    </row>
    <row r="8" spans="1:6" x14ac:dyDescent="0.3">
      <c r="A8" s="6">
        <v>43497</v>
      </c>
      <c r="B8" s="1" t="s">
        <v>261</v>
      </c>
      <c r="C8" s="1" t="s">
        <v>259</v>
      </c>
      <c r="D8" s="1" t="s">
        <v>257</v>
      </c>
      <c r="E8" s="1" t="s">
        <v>20</v>
      </c>
      <c r="F8" s="8">
        <f t="array" ref="F8">VLOOKUP(E8,구장정보!$A$2:$B$10,2,FALSE) - SUM((A8=표3[경기일])*('경기 일정'!D8=표3[경기시간])*('경기 일정'!E8=표3[구장])*표3[인원합])</f>
        <v>326</v>
      </c>
    </row>
    <row r="9" spans="1:6" x14ac:dyDescent="0.3">
      <c r="A9" s="6">
        <v>43497</v>
      </c>
      <c r="B9" s="1" t="s">
        <v>262</v>
      </c>
      <c r="C9" s="1" t="s">
        <v>253</v>
      </c>
      <c r="D9" s="1" t="s">
        <v>257</v>
      </c>
      <c r="E9" s="1" t="s">
        <v>30</v>
      </c>
      <c r="F9" s="8">
        <f t="array" ref="F9">VLOOKUP(E9,구장정보!$A$2:$B$10,2,FALSE) - SUM((A9=표3[경기일])*('경기 일정'!D9=표3[경기시간])*('경기 일정'!E9=표3[구장])*표3[인원합])</f>
        <v>135</v>
      </c>
    </row>
    <row r="10" spans="1:6" x14ac:dyDescent="0.3">
      <c r="A10" s="6">
        <v>43498</v>
      </c>
      <c r="B10" s="1" t="s">
        <v>264</v>
      </c>
      <c r="C10" s="1" t="s">
        <v>253</v>
      </c>
      <c r="D10" s="1" t="s">
        <v>260</v>
      </c>
      <c r="E10" s="1" t="s">
        <v>28</v>
      </c>
      <c r="F10" s="8">
        <f t="array" ref="F10">VLOOKUP(E10,구장정보!$A$2:$B$10,2,FALSE) - SUM((A10=표3[경기일])*('경기 일정'!D10=표3[경기시간])*('경기 일정'!E10=표3[구장])*표3[인원합])</f>
        <v>447</v>
      </c>
    </row>
    <row r="11" spans="1:6" x14ac:dyDescent="0.3">
      <c r="A11" s="6">
        <v>43500</v>
      </c>
      <c r="B11" s="1" t="s">
        <v>259</v>
      </c>
      <c r="C11" s="1" t="s">
        <v>263</v>
      </c>
      <c r="D11" s="1" t="s">
        <v>260</v>
      </c>
      <c r="E11" s="1" t="s">
        <v>26</v>
      </c>
      <c r="F11" s="8">
        <f t="array" ref="F11">VLOOKUP(E11,구장정보!$A$2:$B$10,2,FALSE) - SUM((A11=표3[경기일])*('경기 일정'!D11=표3[경기시간])*('경기 일정'!E11=표3[구장])*표3[인원합])</f>
        <v>254</v>
      </c>
    </row>
    <row r="12" spans="1:6" x14ac:dyDescent="0.3">
      <c r="A12" s="6">
        <v>43501</v>
      </c>
      <c r="B12" s="1" t="s">
        <v>264</v>
      </c>
      <c r="C12" s="1" t="s">
        <v>261</v>
      </c>
      <c r="D12" s="1" t="s">
        <v>255</v>
      </c>
      <c r="E12" s="1" t="s">
        <v>28</v>
      </c>
      <c r="F12" s="8">
        <f t="array" ref="F12">VLOOKUP(E12,구장정보!$A$2:$B$10,2,FALSE) - SUM((A12=표3[경기일])*('경기 일정'!D12=표3[경기시간])*('경기 일정'!E12=표3[구장])*표3[인원합])</f>
        <v>447</v>
      </c>
    </row>
    <row r="13" spans="1:6" x14ac:dyDescent="0.3">
      <c r="A13" s="6">
        <v>43502</v>
      </c>
      <c r="B13" s="1" t="s">
        <v>265</v>
      </c>
      <c r="C13" s="1" t="s">
        <v>253</v>
      </c>
      <c r="D13" s="1" t="s">
        <v>260</v>
      </c>
      <c r="E13" s="1" t="s">
        <v>16</v>
      </c>
      <c r="F13" s="8">
        <f t="array" ref="F13">VLOOKUP(E13,구장정보!$A$2:$B$10,2,FALSE) - SUM((A13=표3[경기일])*('경기 일정'!D13=표3[경기시간])*('경기 일정'!E13=표3[구장])*표3[인원합])</f>
        <v>342</v>
      </c>
    </row>
    <row r="14" spans="1:6" x14ac:dyDescent="0.3">
      <c r="A14" s="6">
        <v>43503</v>
      </c>
      <c r="B14" s="1" t="s">
        <v>256</v>
      </c>
      <c r="C14" s="1" t="s">
        <v>253</v>
      </c>
      <c r="D14" s="1" t="s">
        <v>257</v>
      </c>
      <c r="E14" s="1" t="s">
        <v>26</v>
      </c>
      <c r="F14" s="8">
        <f t="array" ref="F14">VLOOKUP(E14,구장정보!$A$2:$B$10,2,FALSE) - SUM((A14=표3[경기일])*('경기 일정'!D14=표3[경기시간])*('경기 일정'!E14=표3[구장])*표3[인원합])</f>
        <v>254</v>
      </c>
    </row>
    <row r="15" spans="1:6" x14ac:dyDescent="0.3">
      <c r="A15" s="6">
        <v>43503</v>
      </c>
      <c r="B15" s="1" t="s">
        <v>263</v>
      </c>
      <c r="C15" s="1" t="s">
        <v>258</v>
      </c>
      <c r="D15" s="1" t="s">
        <v>257</v>
      </c>
      <c r="E15" s="1" t="s">
        <v>22</v>
      </c>
      <c r="F15" s="8">
        <f t="array" ref="F15">VLOOKUP(E15,구장정보!$A$2:$B$10,2,FALSE) - SUM((A15=표3[경기일])*('경기 일정'!D15=표3[경기시간])*('경기 일정'!E15=표3[구장])*표3[인원합])</f>
        <v>371</v>
      </c>
    </row>
    <row r="16" spans="1:6" x14ac:dyDescent="0.3">
      <c r="A16" s="6">
        <v>43503</v>
      </c>
      <c r="B16" s="1" t="s">
        <v>254</v>
      </c>
      <c r="C16" s="1" t="s">
        <v>259</v>
      </c>
      <c r="D16" s="1" t="s">
        <v>260</v>
      </c>
      <c r="E16" s="1" t="s">
        <v>24</v>
      </c>
      <c r="F16" s="8">
        <f t="array" ref="F16">VLOOKUP(E16,구장정보!$A$2:$B$10,2,FALSE) - SUM((A16=표3[경기일])*('경기 일정'!D16=표3[경기시간])*('경기 일정'!E16=표3[구장])*표3[인원합])</f>
        <v>544</v>
      </c>
    </row>
    <row r="17" spans="1:6" x14ac:dyDescent="0.3">
      <c r="A17" s="6">
        <v>43504</v>
      </c>
      <c r="B17" s="1" t="s">
        <v>265</v>
      </c>
      <c r="C17" s="1" t="s">
        <v>253</v>
      </c>
      <c r="D17" s="1" t="s">
        <v>260</v>
      </c>
      <c r="E17" s="1" t="s">
        <v>16</v>
      </c>
      <c r="F17" s="8">
        <f t="array" ref="F17">VLOOKUP(E17,구장정보!$A$2:$B$10,2,FALSE) - SUM((A17=표3[경기일])*('경기 일정'!D17=표3[경기시간])*('경기 일정'!E17=표3[구장])*표3[인원합])</f>
        <v>342</v>
      </c>
    </row>
    <row r="18" spans="1:6" x14ac:dyDescent="0.3">
      <c r="A18" s="6">
        <v>43504</v>
      </c>
      <c r="B18" s="1" t="s">
        <v>261</v>
      </c>
      <c r="C18" s="1" t="s">
        <v>259</v>
      </c>
      <c r="D18" s="1" t="s">
        <v>260</v>
      </c>
      <c r="E18" s="1" t="s">
        <v>20</v>
      </c>
      <c r="F18" s="8">
        <f t="array" ref="F18">VLOOKUP(E18,구장정보!$A$2:$B$10,2,FALSE) - SUM((A18=표3[경기일])*('경기 일정'!D18=표3[경기시간])*('경기 일정'!E18=표3[구장])*표3[인원합])</f>
        <v>326</v>
      </c>
    </row>
    <row r="19" spans="1:6" x14ac:dyDescent="0.3">
      <c r="A19" s="6">
        <v>43505</v>
      </c>
      <c r="B19" s="1" t="s">
        <v>261</v>
      </c>
      <c r="C19" s="1" t="s">
        <v>253</v>
      </c>
      <c r="D19" s="1" t="s">
        <v>255</v>
      </c>
      <c r="E19" s="1" t="s">
        <v>20</v>
      </c>
      <c r="F19" s="8">
        <f t="array" ref="F19">VLOOKUP(E19,구장정보!$A$2:$B$10,2,FALSE) - SUM((A19=표3[경기일])*('경기 일정'!D19=표3[경기시간])*('경기 일정'!E19=표3[구장])*표3[인원합])</f>
        <v>326</v>
      </c>
    </row>
    <row r="20" spans="1:6" x14ac:dyDescent="0.3">
      <c r="A20" s="6">
        <v>43505</v>
      </c>
      <c r="B20" s="1" t="s">
        <v>259</v>
      </c>
      <c r="C20" s="1" t="s">
        <v>263</v>
      </c>
      <c r="D20" s="1" t="s">
        <v>255</v>
      </c>
      <c r="E20" s="1" t="s">
        <v>26</v>
      </c>
      <c r="F20" s="8">
        <f t="array" ref="F20">VLOOKUP(E20,구장정보!$A$2:$B$10,2,FALSE) - SUM((A20=표3[경기일])*('경기 일정'!D20=표3[경기시간])*('경기 일정'!E20=표3[구장])*표3[인원합])</f>
        <v>254</v>
      </c>
    </row>
    <row r="21" spans="1:6" x14ac:dyDescent="0.3">
      <c r="A21" s="6">
        <v>43506</v>
      </c>
      <c r="B21" s="1" t="s">
        <v>256</v>
      </c>
      <c r="C21" s="1" t="s">
        <v>262</v>
      </c>
      <c r="D21" s="1" t="s">
        <v>255</v>
      </c>
      <c r="E21" s="1" t="s">
        <v>26</v>
      </c>
      <c r="F21" s="8">
        <f t="array" ref="F21">VLOOKUP(E21,구장정보!$A$2:$B$10,2,FALSE) - SUM((A21=표3[경기일])*('경기 일정'!D21=표3[경기시간])*('경기 일정'!E21=표3[구장])*표3[인원합])</f>
        <v>254</v>
      </c>
    </row>
    <row r="22" spans="1:6" x14ac:dyDescent="0.3">
      <c r="A22" s="6">
        <v>43506</v>
      </c>
      <c r="B22" s="1" t="s">
        <v>263</v>
      </c>
      <c r="C22" s="1" t="s">
        <v>258</v>
      </c>
      <c r="D22" s="1" t="s">
        <v>257</v>
      </c>
      <c r="E22" s="1" t="s">
        <v>22</v>
      </c>
      <c r="F22" s="8">
        <f t="array" ref="F22">VLOOKUP(E22,구장정보!$A$2:$B$10,2,FALSE) - SUM((A22=표3[경기일])*('경기 일정'!D22=표3[경기시간])*('경기 일정'!E22=표3[구장])*표3[인원합])</f>
        <v>371</v>
      </c>
    </row>
    <row r="23" spans="1:6" x14ac:dyDescent="0.3">
      <c r="A23" s="6">
        <v>43507</v>
      </c>
      <c r="B23" s="1" t="s">
        <v>258</v>
      </c>
      <c r="C23" s="1" t="s">
        <v>254</v>
      </c>
      <c r="D23" s="1" t="s">
        <v>257</v>
      </c>
      <c r="E23" s="1" t="s">
        <v>18</v>
      </c>
      <c r="F23" s="8">
        <f t="array" ref="F23">VLOOKUP(E23,구장정보!$A$2:$B$10,2,FALSE) - SUM((A23=표3[경기일])*('경기 일정'!D23=표3[경기시간])*('경기 일정'!E23=표3[구장])*표3[인원합])</f>
        <v>435</v>
      </c>
    </row>
    <row r="24" spans="1:6" x14ac:dyDescent="0.3">
      <c r="A24" s="6">
        <v>43507</v>
      </c>
      <c r="B24" s="1" t="s">
        <v>263</v>
      </c>
      <c r="C24" s="1" t="s">
        <v>264</v>
      </c>
      <c r="D24" s="1" t="s">
        <v>260</v>
      </c>
      <c r="E24" s="1" t="s">
        <v>22</v>
      </c>
      <c r="F24" s="8">
        <f t="array" ref="F24">VLOOKUP(E24,구장정보!$A$2:$B$10,2,FALSE) - SUM((A24=표3[경기일])*('경기 일정'!D24=표3[경기시간])*('경기 일정'!E24=표3[구장])*표3[인원합])</f>
        <v>371</v>
      </c>
    </row>
    <row r="25" spans="1:6" x14ac:dyDescent="0.3">
      <c r="A25" s="6">
        <v>43508</v>
      </c>
      <c r="B25" s="1" t="s">
        <v>261</v>
      </c>
      <c r="C25" s="1" t="s">
        <v>259</v>
      </c>
      <c r="D25" s="1" t="s">
        <v>257</v>
      </c>
      <c r="E25" s="1" t="s">
        <v>20</v>
      </c>
      <c r="F25" s="8">
        <f t="array" ref="F25">VLOOKUP(E25,구장정보!$A$2:$B$10,2,FALSE) - SUM((A25=표3[경기일])*('경기 일정'!D25=표3[경기시간])*('경기 일정'!E25=표3[구장])*표3[인원합])</f>
        <v>326</v>
      </c>
    </row>
    <row r="26" spans="1:6" x14ac:dyDescent="0.3">
      <c r="A26" s="6">
        <v>43508</v>
      </c>
      <c r="B26" s="1" t="s">
        <v>263</v>
      </c>
      <c r="C26" s="1" t="s">
        <v>254</v>
      </c>
      <c r="D26" s="1" t="s">
        <v>260</v>
      </c>
      <c r="E26" s="1" t="s">
        <v>22</v>
      </c>
      <c r="F26" s="8">
        <f t="array" ref="F26">VLOOKUP(E26,구장정보!$A$2:$B$10,2,FALSE) - SUM((A26=표3[경기일])*('경기 일정'!D26=표3[경기시간])*('경기 일정'!E26=표3[구장])*표3[인원합])</f>
        <v>371</v>
      </c>
    </row>
    <row r="27" spans="1:6" x14ac:dyDescent="0.3">
      <c r="A27" s="6">
        <v>43509</v>
      </c>
      <c r="B27" s="1" t="s">
        <v>259</v>
      </c>
      <c r="C27" s="1" t="s">
        <v>261</v>
      </c>
      <c r="D27" s="1" t="s">
        <v>260</v>
      </c>
      <c r="E27" s="1" t="s">
        <v>26</v>
      </c>
      <c r="F27" s="8">
        <f t="array" ref="F27">VLOOKUP(E27,구장정보!$A$2:$B$10,2,FALSE) - SUM((A27=표3[경기일])*('경기 일정'!D27=표3[경기시간])*('경기 일정'!E27=표3[구장])*표3[인원합])</f>
        <v>254</v>
      </c>
    </row>
    <row r="28" spans="1:6" x14ac:dyDescent="0.3">
      <c r="A28" s="6">
        <v>43511</v>
      </c>
      <c r="B28" s="1" t="s">
        <v>264</v>
      </c>
      <c r="C28" s="1" t="s">
        <v>258</v>
      </c>
      <c r="D28" s="1" t="s">
        <v>255</v>
      </c>
      <c r="E28" s="1" t="s">
        <v>28</v>
      </c>
      <c r="F28" s="8">
        <f t="array" ref="F28">VLOOKUP(E28,구장정보!$A$2:$B$10,2,FALSE) - SUM((A28=표3[경기일])*('경기 일정'!D28=표3[경기시간])*('경기 일정'!E28=표3[구장])*표3[인원합])</f>
        <v>447</v>
      </c>
    </row>
    <row r="29" spans="1:6" x14ac:dyDescent="0.3">
      <c r="A29" s="6">
        <v>43511</v>
      </c>
      <c r="B29" s="1" t="s">
        <v>261</v>
      </c>
      <c r="C29" s="1" t="s">
        <v>265</v>
      </c>
      <c r="D29" s="1" t="s">
        <v>257</v>
      </c>
      <c r="E29" s="1" t="s">
        <v>20</v>
      </c>
      <c r="F29" s="8">
        <f t="array" ref="F29">VLOOKUP(E29,구장정보!$A$2:$B$10,2,FALSE) - SUM((A29=표3[경기일])*('경기 일정'!D29=표3[경기시간])*('경기 일정'!E29=표3[구장])*표3[인원합])</f>
        <v>326</v>
      </c>
    </row>
    <row r="30" spans="1:6" x14ac:dyDescent="0.3">
      <c r="A30" s="6">
        <v>43511</v>
      </c>
      <c r="B30" s="1" t="s">
        <v>259</v>
      </c>
      <c r="C30" s="1" t="s">
        <v>254</v>
      </c>
      <c r="D30" s="1" t="s">
        <v>260</v>
      </c>
      <c r="E30" s="1" t="s">
        <v>26</v>
      </c>
      <c r="F30" s="8">
        <f t="array" ref="F30">VLOOKUP(E30,구장정보!$A$2:$B$10,2,FALSE) - SUM((A30=표3[경기일])*('경기 일정'!D30=표3[경기시간])*('경기 일정'!E30=표3[구장])*표3[인원합])</f>
        <v>254</v>
      </c>
    </row>
    <row r="31" spans="1:6" x14ac:dyDescent="0.3">
      <c r="A31" s="6">
        <v>43512</v>
      </c>
      <c r="B31" s="1" t="s">
        <v>264</v>
      </c>
      <c r="C31" s="1" t="s">
        <v>265</v>
      </c>
      <c r="D31" s="1" t="s">
        <v>255</v>
      </c>
      <c r="E31" s="1" t="s">
        <v>28</v>
      </c>
      <c r="F31" s="8">
        <f t="array" ref="F31">VLOOKUP(E31,구장정보!$A$2:$B$10,2,FALSE) - SUM((A31=표3[경기일])*('경기 일정'!D31=표3[경기시간])*('경기 일정'!E31=표3[구장])*표3[인원합])</f>
        <v>447</v>
      </c>
    </row>
    <row r="32" spans="1:6" x14ac:dyDescent="0.3">
      <c r="A32" s="6">
        <v>43512</v>
      </c>
      <c r="B32" s="1" t="s">
        <v>259</v>
      </c>
      <c r="C32" s="1" t="s">
        <v>256</v>
      </c>
      <c r="D32" s="1" t="s">
        <v>257</v>
      </c>
      <c r="E32" s="1" t="s">
        <v>26</v>
      </c>
      <c r="F32" s="8">
        <f t="array" ref="F32">VLOOKUP(E32,구장정보!$A$2:$B$10,2,FALSE) - SUM((A32=표3[경기일])*('경기 일정'!D32=표3[경기시간])*('경기 일정'!E32=표3[구장])*표3[인원합])</f>
        <v>254</v>
      </c>
    </row>
    <row r="33" spans="1:6" x14ac:dyDescent="0.3">
      <c r="A33" s="6">
        <v>43512</v>
      </c>
      <c r="B33" s="1" t="s">
        <v>261</v>
      </c>
      <c r="C33" s="1" t="s">
        <v>254</v>
      </c>
      <c r="D33" s="1" t="s">
        <v>260</v>
      </c>
      <c r="E33" s="1" t="s">
        <v>20</v>
      </c>
      <c r="F33" s="8">
        <f t="array" ref="F33">VLOOKUP(E33,구장정보!$A$2:$B$10,2,FALSE) - SUM((A33=표3[경기일])*('경기 일정'!D33=표3[경기시간])*('경기 일정'!E33=표3[구장])*표3[인원합])</f>
        <v>326</v>
      </c>
    </row>
    <row r="34" spans="1:6" x14ac:dyDescent="0.3">
      <c r="A34" s="6">
        <v>43513</v>
      </c>
      <c r="B34" s="1" t="s">
        <v>265</v>
      </c>
      <c r="C34" s="1" t="s">
        <v>254</v>
      </c>
      <c r="D34" s="1" t="s">
        <v>255</v>
      </c>
      <c r="E34" s="1" t="s">
        <v>16</v>
      </c>
      <c r="F34" s="8">
        <f t="array" ref="F34">VLOOKUP(E34,구장정보!$A$2:$B$10,2,FALSE) - SUM((A34=표3[경기일])*('경기 일정'!D34=표3[경기시간])*('경기 일정'!E34=표3[구장])*표3[인원합])</f>
        <v>342</v>
      </c>
    </row>
    <row r="35" spans="1:6" x14ac:dyDescent="0.3">
      <c r="A35" s="6">
        <v>43514</v>
      </c>
      <c r="B35" s="1" t="s">
        <v>256</v>
      </c>
      <c r="C35" s="1" t="s">
        <v>259</v>
      </c>
      <c r="D35" s="1" t="s">
        <v>257</v>
      </c>
      <c r="E35" s="1" t="s">
        <v>26</v>
      </c>
      <c r="F35" s="8">
        <f t="array" ref="F35">VLOOKUP(E35,구장정보!$A$2:$B$10,2,FALSE) - SUM((A35=표3[경기일])*('경기 일정'!D35=표3[경기시간])*('경기 일정'!E35=표3[구장])*표3[인원합])</f>
        <v>254</v>
      </c>
    </row>
    <row r="36" spans="1:6" x14ac:dyDescent="0.3">
      <c r="A36" s="6">
        <v>43514</v>
      </c>
      <c r="B36" s="1" t="s">
        <v>264</v>
      </c>
      <c r="C36" s="1" t="s">
        <v>262</v>
      </c>
      <c r="D36" s="1" t="s">
        <v>255</v>
      </c>
      <c r="E36" s="1" t="s">
        <v>28</v>
      </c>
      <c r="F36" s="8">
        <f t="array" ref="F36">VLOOKUP(E36,구장정보!$A$2:$B$10,2,FALSE) - SUM((A36=표3[경기일])*('경기 일정'!D36=표3[경기시간])*('경기 일정'!E36=표3[구장])*표3[인원합])</f>
        <v>447</v>
      </c>
    </row>
    <row r="37" spans="1:6" x14ac:dyDescent="0.3">
      <c r="A37" s="6">
        <v>43515</v>
      </c>
      <c r="B37" s="1" t="s">
        <v>258</v>
      </c>
      <c r="C37" s="1" t="s">
        <v>253</v>
      </c>
      <c r="D37" s="1" t="s">
        <v>257</v>
      </c>
      <c r="E37" s="1" t="s">
        <v>18</v>
      </c>
      <c r="F37" s="8">
        <f t="array" ref="F37">VLOOKUP(E37,구장정보!$A$2:$B$10,2,FALSE) - SUM((A37=표3[경기일])*('경기 일정'!D37=표3[경기시간])*('경기 일정'!E37=표3[구장])*표3[인원합])</f>
        <v>435</v>
      </c>
    </row>
    <row r="38" spans="1:6" x14ac:dyDescent="0.3">
      <c r="A38" s="6">
        <v>43515</v>
      </c>
      <c r="B38" s="1" t="s">
        <v>261</v>
      </c>
      <c r="C38" s="1" t="s">
        <v>256</v>
      </c>
      <c r="D38" s="1" t="s">
        <v>257</v>
      </c>
      <c r="E38" s="1" t="s">
        <v>20</v>
      </c>
      <c r="F38" s="8">
        <f t="array" ref="F38">VLOOKUP(E38,구장정보!$A$2:$B$10,2,FALSE) - SUM((A38=표3[경기일])*('경기 일정'!D38=표3[경기시간])*('경기 일정'!E38=표3[구장])*표3[인원합])</f>
        <v>326</v>
      </c>
    </row>
    <row r="39" spans="1:6" x14ac:dyDescent="0.3">
      <c r="A39" s="6">
        <v>43515</v>
      </c>
      <c r="B39" s="1" t="s">
        <v>254</v>
      </c>
      <c r="C39" s="1" t="s">
        <v>263</v>
      </c>
      <c r="D39" s="1" t="s">
        <v>260</v>
      </c>
      <c r="E39" s="1" t="s">
        <v>24</v>
      </c>
      <c r="F39" s="8">
        <f t="array" ref="F39">VLOOKUP(E39,구장정보!$A$2:$B$10,2,FALSE) - SUM((A39=표3[경기일])*('경기 일정'!D39=표3[경기시간])*('경기 일정'!E39=표3[구장])*표3[인원합])</f>
        <v>544</v>
      </c>
    </row>
    <row r="40" spans="1:6" x14ac:dyDescent="0.3">
      <c r="A40" s="6">
        <v>43516</v>
      </c>
      <c r="B40" s="1" t="s">
        <v>256</v>
      </c>
      <c r="C40" s="1" t="s">
        <v>265</v>
      </c>
      <c r="D40" s="1" t="s">
        <v>255</v>
      </c>
      <c r="E40" s="1" t="s">
        <v>26</v>
      </c>
      <c r="F40" s="8">
        <f t="array" ref="F40">VLOOKUP(E40,구장정보!$A$2:$B$10,2,FALSE) - SUM((A40=표3[경기일])*('경기 일정'!D40=표3[경기시간])*('경기 일정'!E40=표3[구장])*표3[인원합])</f>
        <v>254</v>
      </c>
    </row>
    <row r="41" spans="1:6" x14ac:dyDescent="0.3">
      <c r="A41" s="6">
        <v>43516</v>
      </c>
      <c r="B41" s="1" t="s">
        <v>258</v>
      </c>
      <c r="C41" s="1" t="s">
        <v>261</v>
      </c>
      <c r="D41" s="1" t="s">
        <v>255</v>
      </c>
      <c r="E41" s="1" t="s">
        <v>18</v>
      </c>
      <c r="F41" s="8">
        <f t="array" ref="F41">VLOOKUP(E41,구장정보!$A$2:$B$10,2,FALSE) - SUM((A41=표3[경기일])*('경기 일정'!D41=표3[경기시간])*('경기 일정'!E41=표3[구장])*표3[인원합])</f>
        <v>435</v>
      </c>
    </row>
    <row r="42" spans="1:6" x14ac:dyDescent="0.3">
      <c r="A42" s="6">
        <v>43516</v>
      </c>
      <c r="B42" s="1" t="s">
        <v>262</v>
      </c>
      <c r="C42" s="1" t="s">
        <v>259</v>
      </c>
      <c r="D42" s="1" t="s">
        <v>255</v>
      </c>
      <c r="E42" s="1" t="s">
        <v>30</v>
      </c>
      <c r="F42" s="8">
        <f t="array" ref="F42">VLOOKUP(E42,구장정보!$A$2:$B$10,2,FALSE) - SUM((A42=표3[경기일])*('경기 일정'!D42=표3[경기시간])*('경기 일정'!E42=표3[구장])*표3[인원합])</f>
        <v>135</v>
      </c>
    </row>
    <row r="43" spans="1:6" x14ac:dyDescent="0.3">
      <c r="A43" s="6">
        <v>43517</v>
      </c>
      <c r="B43" s="1" t="s">
        <v>258</v>
      </c>
      <c r="C43" s="1" t="s">
        <v>264</v>
      </c>
      <c r="D43" s="1" t="s">
        <v>255</v>
      </c>
      <c r="E43" s="1" t="s">
        <v>18</v>
      </c>
      <c r="F43" s="8">
        <f t="array" ref="F43">VLOOKUP(E43,구장정보!$A$2:$B$10,2,FALSE) - SUM((A43=표3[경기일])*('경기 일정'!D43=표3[경기시간])*('경기 일정'!E43=표3[구장])*표3[인원합])</f>
        <v>435</v>
      </c>
    </row>
    <row r="44" spans="1:6" x14ac:dyDescent="0.3">
      <c r="A44" s="6">
        <v>43517</v>
      </c>
      <c r="B44" s="1" t="s">
        <v>263</v>
      </c>
      <c r="C44" s="1" t="s">
        <v>265</v>
      </c>
      <c r="D44" s="1" t="s">
        <v>255</v>
      </c>
      <c r="E44" s="1" t="s">
        <v>22</v>
      </c>
      <c r="F44" s="8">
        <f t="array" ref="F44">VLOOKUP(E44,구장정보!$A$2:$B$10,2,FALSE) - SUM((A44=표3[경기일])*('경기 일정'!D44=표3[경기시간])*('경기 일정'!E44=표3[구장])*표3[인원합])</f>
        <v>371</v>
      </c>
    </row>
    <row r="45" spans="1:6" x14ac:dyDescent="0.3">
      <c r="A45" s="6">
        <v>43517</v>
      </c>
      <c r="B45" s="1" t="s">
        <v>254</v>
      </c>
      <c r="C45" s="1" t="s">
        <v>259</v>
      </c>
      <c r="D45" s="1" t="s">
        <v>257</v>
      </c>
      <c r="E45" s="1" t="s">
        <v>24</v>
      </c>
      <c r="F45" s="8">
        <f t="array" ref="F45">VLOOKUP(E45,구장정보!$A$2:$B$10,2,FALSE) - SUM((A45=표3[경기일])*('경기 일정'!D45=표3[경기시간])*('경기 일정'!E45=표3[구장])*표3[인원합])</f>
        <v>544</v>
      </c>
    </row>
    <row r="46" spans="1:6" x14ac:dyDescent="0.3">
      <c r="A46" s="6">
        <v>43518</v>
      </c>
      <c r="B46" s="1" t="s">
        <v>265</v>
      </c>
      <c r="C46" s="1" t="s">
        <v>256</v>
      </c>
      <c r="D46" s="1" t="s">
        <v>257</v>
      </c>
      <c r="E46" s="1" t="s">
        <v>16</v>
      </c>
      <c r="F46" s="8">
        <f t="array" ref="F46">VLOOKUP(E46,구장정보!$A$2:$B$10,2,FALSE) - SUM((A46=표3[경기일])*('경기 일정'!D46=표3[경기시간])*('경기 일정'!E46=표3[구장])*표3[인원합])</f>
        <v>342</v>
      </c>
    </row>
    <row r="47" spans="1:6" x14ac:dyDescent="0.3">
      <c r="A47" s="6">
        <v>43518</v>
      </c>
      <c r="B47" s="1" t="s">
        <v>264</v>
      </c>
      <c r="C47" s="1" t="s">
        <v>261</v>
      </c>
      <c r="D47" s="1" t="s">
        <v>257</v>
      </c>
      <c r="E47" s="1" t="s">
        <v>28</v>
      </c>
      <c r="F47" s="8">
        <f t="array" ref="F47">VLOOKUP(E47,구장정보!$A$2:$B$10,2,FALSE) - SUM((A47=표3[경기일])*('경기 일정'!D47=표3[경기시간])*('경기 일정'!E47=표3[구장])*표3[인원합])</f>
        <v>447</v>
      </c>
    </row>
    <row r="48" spans="1:6" x14ac:dyDescent="0.3">
      <c r="A48" s="6">
        <v>43518</v>
      </c>
      <c r="B48" s="1" t="s">
        <v>259</v>
      </c>
      <c r="C48" s="1" t="s">
        <v>253</v>
      </c>
      <c r="D48" s="1" t="s">
        <v>260</v>
      </c>
      <c r="E48" s="1" t="s">
        <v>26</v>
      </c>
      <c r="F48" s="8">
        <f t="array" ref="F48">VLOOKUP(E48,구장정보!$A$2:$B$10,2,FALSE) - SUM((A48=표3[경기일])*('경기 일정'!D48=표3[경기시간])*('경기 일정'!E48=표3[구장])*표3[인원합])</f>
        <v>242</v>
      </c>
    </row>
    <row r="49" spans="1:6" x14ac:dyDescent="0.3">
      <c r="A49" s="6">
        <v>43518</v>
      </c>
      <c r="B49" s="1" t="s">
        <v>263</v>
      </c>
      <c r="C49" s="1" t="s">
        <v>258</v>
      </c>
      <c r="D49" s="1" t="s">
        <v>257</v>
      </c>
      <c r="E49" s="1" t="s">
        <v>22</v>
      </c>
      <c r="F49" s="8">
        <f t="array" ref="F49">VLOOKUP(E49,구장정보!$A$2:$B$10,2,FALSE) - SUM((A49=표3[경기일])*('경기 일정'!D49=표3[경기시간])*('경기 일정'!E49=표3[구장])*표3[인원합])</f>
        <v>371</v>
      </c>
    </row>
    <row r="50" spans="1:6" x14ac:dyDescent="0.3">
      <c r="A50" s="6">
        <v>43519</v>
      </c>
      <c r="B50" s="1" t="s">
        <v>262</v>
      </c>
      <c r="C50" s="1" t="s">
        <v>256</v>
      </c>
      <c r="D50" s="1" t="s">
        <v>257</v>
      </c>
      <c r="E50" s="1" t="s">
        <v>30</v>
      </c>
      <c r="F50" s="8">
        <f t="array" ref="F50">VLOOKUP(E50,구장정보!$A$2:$B$10,2,FALSE) - SUM((A50=표3[경기일])*('경기 일정'!D50=표3[경기시간])*('경기 일정'!E50=표3[구장])*표3[인원합])</f>
        <v>135</v>
      </c>
    </row>
    <row r="51" spans="1:6" x14ac:dyDescent="0.3">
      <c r="A51" s="6">
        <v>43519</v>
      </c>
      <c r="B51" s="1" t="s">
        <v>258</v>
      </c>
      <c r="C51" s="1" t="s">
        <v>253</v>
      </c>
      <c r="D51" s="1" t="s">
        <v>260</v>
      </c>
      <c r="E51" s="1" t="s">
        <v>18</v>
      </c>
      <c r="F51" s="8">
        <f t="array" ref="F51">VLOOKUP(E51,구장정보!$A$2:$B$10,2,FALSE) - SUM((A51=표3[경기일])*('경기 일정'!D51=표3[경기시간])*('경기 일정'!E51=표3[구장])*표3[인원합])</f>
        <v>435</v>
      </c>
    </row>
    <row r="52" spans="1:6" x14ac:dyDescent="0.3">
      <c r="A52" s="6">
        <v>43519</v>
      </c>
      <c r="B52" s="1" t="s">
        <v>261</v>
      </c>
      <c r="C52" s="1" t="s">
        <v>265</v>
      </c>
      <c r="D52" s="1" t="s">
        <v>257</v>
      </c>
      <c r="E52" s="1" t="s">
        <v>20</v>
      </c>
      <c r="F52" s="8">
        <f t="array" ref="F52">VLOOKUP(E52,구장정보!$A$2:$B$10,2,FALSE) - SUM((A52=표3[경기일])*('경기 일정'!D52=표3[경기시간])*('경기 일정'!E52=표3[구장])*표3[인원합])</f>
        <v>326</v>
      </c>
    </row>
    <row r="53" spans="1:6" x14ac:dyDescent="0.3">
      <c r="A53" s="6">
        <v>43519</v>
      </c>
      <c r="B53" s="1" t="s">
        <v>254</v>
      </c>
      <c r="C53" s="1" t="s">
        <v>263</v>
      </c>
      <c r="D53" s="1" t="s">
        <v>260</v>
      </c>
      <c r="E53" s="1" t="s">
        <v>24</v>
      </c>
      <c r="F53" s="8">
        <f t="array" ref="F53">VLOOKUP(E53,구장정보!$A$2:$B$10,2,FALSE) - SUM((A53=표3[경기일])*('경기 일정'!D53=표3[경기시간])*('경기 일정'!E53=표3[구장])*표3[인원합])</f>
        <v>544</v>
      </c>
    </row>
    <row r="54" spans="1:6" x14ac:dyDescent="0.3">
      <c r="A54" s="6">
        <v>43520</v>
      </c>
      <c r="B54" s="1" t="s">
        <v>264</v>
      </c>
      <c r="C54" s="1" t="s">
        <v>259</v>
      </c>
      <c r="D54" s="1" t="s">
        <v>255</v>
      </c>
      <c r="E54" s="1" t="s">
        <v>28</v>
      </c>
      <c r="F54" s="8">
        <f t="array" ref="F54">VLOOKUP(E54,구장정보!$A$2:$B$10,2,FALSE) - SUM((A54=표3[경기일])*('경기 일정'!D54=표3[경기시간])*('경기 일정'!E54=표3[구장])*표3[인원합])</f>
        <v>447</v>
      </c>
    </row>
    <row r="55" spans="1:6" x14ac:dyDescent="0.3">
      <c r="A55" s="6">
        <v>43521</v>
      </c>
      <c r="B55" s="1" t="s">
        <v>258</v>
      </c>
      <c r="C55" s="1" t="s">
        <v>265</v>
      </c>
      <c r="D55" s="1" t="s">
        <v>260</v>
      </c>
      <c r="E55" s="1" t="s">
        <v>18</v>
      </c>
      <c r="F55" s="8">
        <f t="array" ref="F55">VLOOKUP(E55,구장정보!$A$2:$B$10,2,FALSE) - SUM((A55=표3[경기일])*('경기 일정'!D55=표3[경기시간])*('경기 일정'!E55=표3[구장])*표3[인원합])</f>
        <v>435</v>
      </c>
    </row>
    <row r="56" spans="1:6" x14ac:dyDescent="0.3">
      <c r="A56" s="6">
        <v>43521</v>
      </c>
      <c r="B56" s="1" t="s">
        <v>261</v>
      </c>
      <c r="C56" s="1" t="s">
        <v>263</v>
      </c>
      <c r="D56" s="1" t="s">
        <v>255</v>
      </c>
      <c r="E56" s="1" t="s">
        <v>20</v>
      </c>
      <c r="F56" s="8">
        <f t="array" ref="F56">VLOOKUP(E56,구장정보!$A$2:$B$10,2,FALSE) - SUM((A56=표3[경기일])*('경기 일정'!D56=표3[경기시간])*('경기 일정'!E56=표3[구장])*표3[인원합])</f>
        <v>326</v>
      </c>
    </row>
    <row r="57" spans="1:6" x14ac:dyDescent="0.3">
      <c r="A57" s="6">
        <v>43522</v>
      </c>
      <c r="B57" s="1" t="s">
        <v>261</v>
      </c>
      <c r="C57" s="1" t="s">
        <v>263</v>
      </c>
      <c r="D57" s="1" t="s">
        <v>260</v>
      </c>
      <c r="E57" s="1" t="s">
        <v>20</v>
      </c>
      <c r="F57" s="8">
        <f t="array" ref="F57">VLOOKUP(E57,구장정보!$A$2:$B$10,2,FALSE) - SUM((A57=표3[경기일])*('경기 일정'!D57=표3[경기시간])*('경기 일정'!E57=표3[구장])*표3[인원합])</f>
        <v>326</v>
      </c>
    </row>
    <row r="58" spans="1:6" x14ac:dyDescent="0.3">
      <c r="A58" s="6">
        <v>43522</v>
      </c>
      <c r="B58" s="1" t="s">
        <v>265</v>
      </c>
      <c r="C58" s="1" t="s">
        <v>254</v>
      </c>
      <c r="D58" s="1" t="s">
        <v>255</v>
      </c>
      <c r="E58" s="1" t="s">
        <v>16</v>
      </c>
      <c r="F58" s="8">
        <f t="array" ref="F58">VLOOKUP(E58,구장정보!$A$2:$B$10,2,FALSE) - SUM((A58=표3[경기일])*('경기 일정'!D58=표3[경기시간])*('경기 일정'!E58=표3[구장])*표3[인원합])</f>
        <v>342</v>
      </c>
    </row>
    <row r="59" spans="1:6" x14ac:dyDescent="0.3">
      <c r="A59" s="6">
        <v>43522</v>
      </c>
      <c r="B59" s="1" t="s">
        <v>253</v>
      </c>
      <c r="C59" s="1" t="s">
        <v>262</v>
      </c>
      <c r="D59" s="1" t="s">
        <v>257</v>
      </c>
      <c r="E59" s="1" t="s">
        <v>14</v>
      </c>
      <c r="F59" s="8">
        <f t="array" ref="F59">VLOOKUP(E59,구장정보!$A$2:$B$10,2,FALSE) - SUM((A59=표3[경기일])*('경기 일정'!D59=표3[경기시간])*('경기 일정'!E59=표3[구장])*표3[인원합])</f>
        <v>506</v>
      </c>
    </row>
    <row r="60" spans="1:6" x14ac:dyDescent="0.3">
      <c r="A60" s="6">
        <v>43522</v>
      </c>
      <c r="B60" s="1" t="s">
        <v>264</v>
      </c>
      <c r="C60" s="1" t="s">
        <v>258</v>
      </c>
      <c r="D60" s="1" t="s">
        <v>255</v>
      </c>
      <c r="E60" s="1" t="s">
        <v>28</v>
      </c>
      <c r="F60" s="8">
        <f t="array" ref="F60">VLOOKUP(E60,구장정보!$A$2:$B$10,2,FALSE) - SUM((A60=표3[경기일])*('경기 일정'!D60=표3[경기시간])*('경기 일정'!E60=표3[구장])*표3[인원합])</f>
        <v>447</v>
      </c>
    </row>
    <row r="61" spans="1:6" x14ac:dyDescent="0.3">
      <c r="A61" s="6">
        <v>43523</v>
      </c>
      <c r="B61" s="1" t="s">
        <v>259</v>
      </c>
      <c r="C61" s="1" t="s">
        <v>263</v>
      </c>
      <c r="D61" s="1" t="s">
        <v>260</v>
      </c>
      <c r="E61" s="1" t="s">
        <v>26</v>
      </c>
      <c r="F61" s="8">
        <f t="array" ref="F61">VLOOKUP(E61,구장정보!$A$2:$B$10,2,FALSE) - SUM((A61=표3[경기일])*('경기 일정'!D61=표3[경기시간])*('경기 일정'!E61=표3[구장])*표3[인원합])</f>
        <v>254</v>
      </c>
    </row>
    <row r="62" spans="1:6" x14ac:dyDescent="0.3">
      <c r="A62" s="6">
        <v>43524</v>
      </c>
      <c r="B62" s="1" t="s">
        <v>261</v>
      </c>
      <c r="C62" s="1" t="s">
        <v>256</v>
      </c>
      <c r="D62" s="1" t="s">
        <v>255</v>
      </c>
      <c r="E62" s="1" t="s">
        <v>20</v>
      </c>
      <c r="F62" s="8">
        <f t="array" ref="F62">VLOOKUP(E62,구장정보!$A$2:$B$10,2,FALSE) - SUM((A62=표3[경기일])*('경기 일정'!D62=표3[경기시간])*('경기 일정'!E62=표3[구장])*표3[인원합])</f>
        <v>318</v>
      </c>
    </row>
    <row r="63" spans="1:6" x14ac:dyDescent="0.3">
      <c r="A63" s="6">
        <v>43524</v>
      </c>
      <c r="B63" s="1" t="s">
        <v>259</v>
      </c>
      <c r="C63" s="1" t="s">
        <v>253</v>
      </c>
      <c r="D63" s="1" t="s">
        <v>260</v>
      </c>
      <c r="E63" s="1" t="s">
        <v>26</v>
      </c>
      <c r="F63" s="8">
        <f t="array" ref="F63">VLOOKUP(E63,구장정보!$A$2:$B$10,2,FALSE) - SUM((A63=표3[경기일])*('경기 일정'!D63=표3[경기시간])*('경기 일정'!E63=표3[구장])*표3[인원합])</f>
        <v>254</v>
      </c>
    </row>
    <row r="64" spans="1:6" x14ac:dyDescent="0.3">
      <c r="A64" s="6">
        <v>43524</v>
      </c>
      <c r="B64" s="1" t="s">
        <v>254</v>
      </c>
      <c r="C64" s="1" t="s">
        <v>258</v>
      </c>
      <c r="D64" s="1" t="s">
        <v>257</v>
      </c>
      <c r="E64" s="1" t="s">
        <v>24</v>
      </c>
      <c r="F64" s="8">
        <f t="array" ref="F64">VLOOKUP(E64,구장정보!$A$2:$B$10,2,FALSE) - SUM((A64=표3[경기일])*('경기 일정'!D64=표3[경기시간])*('경기 일정'!E64=표3[구장])*표3[인원합])</f>
        <v>544</v>
      </c>
    </row>
    <row r="65" spans="1:6" x14ac:dyDescent="0.3">
      <c r="A65" s="6">
        <v>43524</v>
      </c>
      <c r="B65" s="1" t="s">
        <v>262</v>
      </c>
      <c r="C65" s="1" t="s">
        <v>263</v>
      </c>
      <c r="D65" s="1" t="s">
        <v>260</v>
      </c>
      <c r="E65" s="1" t="s">
        <v>30</v>
      </c>
      <c r="F65" s="8">
        <f t="array" ref="F65">VLOOKUP(E65,구장정보!$A$2:$B$10,2,FALSE) - SUM((A65=표3[경기일])*('경기 일정'!D65=표3[경기시간])*('경기 일정'!E65=표3[구장])*표3[인원합])</f>
        <v>135</v>
      </c>
    </row>
    <row r="66" spans="1:6" x14ac:dyDescent="0.3">
      <c r="A66" s="6">
        <v>43525</v>
      </c>
      <c r="B66" s="1" t="s">
        <v>264</v>
      </c>
      <c r="C66" s="1" t="s">
        <v>254</v>
      </c>
      <c r="D66" s="1" t="s">
        <v>255</v>
      </c>
      <c r="E66" s="1" t="s">
        <v>28</v>
      </c>
      <c r="F66" s="8">
        <f t="array" ref="F66">VLOOKUP(E66,구장정보!$A$2:$B$10,2,FALSE) - SUM((A66=표3[경기일])*('경기 일정'!D66=표3[경기시간])*('경기 일정'!E66=표3[구장])*표3[인원합])</f>
        <v>447</v>
      </c>
    </row>
    <row r="67" spans="1:6" x14ac:dyDescent="0.3">
      <c r="A67" s="6">
        <v>43525</v>
      </c>
      <c r="B67" s="1" t="s">
        <v>261</v>
      </c>
      <c r="C67" s="1" t="s">
        <v>258</v>
      </c>
      <c r="D67" s="1" t="s">
        <v>260</v>
      </c>
      <c r="E67" s="1" t="s">
        <v>20</v>
      </c>
      <c r="F67" s="8">
        <f t="array" ref="F67">VLOOKUP(E67,구장정보!$A$2:$B$10,2,FALSE) - SUM((A67=표3[경기일])*('경기 일정'!D67=표3[경기시간])*('경기 일정'!E67=표3[구장])*표3[인원합])</f>
        <v>326</v>
      </c>
    </row>
    <row r="68" spans="1:6" x14ac:dyDescent="0.3">
      <c r="A68" s="6">
        <v>43526</v>
      </c>
      <c r="B68" s="1" t="s">
        <v>254</v>
      </c>
      <c r="C68" s="1" t="s">
        <v>259</v>
      </c>
      <c r="D68" s="1" t="s">
        <v>257</v>
      </c>
      <c r="E68" s="1" t="s">
        <v>24</v>
      </c>
      <c r="F68" s="8">
        <f t="array" ref="F68">VLOOKUP(E68,구장정보!$A$2:$B$10,2,FALSE) - SUM((A68=표3[경기일])*('경기 일정'!D68=표3[경기시간])*('경기 일정'!E68=표3[구장])*표3[인원합])</f>
        <v>544</v>
      </c>
    </row>
    <row r="69" spans="1:6" x14ac:dyDescent="0.3">
      <c r="A69" s="6">
        <v>43526</v>
      </c>
      <c r="B69" s="1" t="s">
        <v>262</v>
      </c>
      <c r="C69" s="1" t="s">
        <v>253</v>
      </c>
      <c r="D69" s="1" t="s">
        <v>257</v>
      </c>
      <c r="E69" s="1" t="s">
        <v>30</v>
      </c>
      <c r="F69" s="8">
        <f t="array" ref="F69">VLOOKUP(E69,구장정보!$A$2:$B$10,2,FALSE) - SUM((A69=표3[경기일])*('경기 일정'!D69=표3[경기시간])*('경기 일정'!E69=표3[구장])*표3[인원합])</f>
        <v>135</v>
      </c>
    </row>
    <row r="70" spans="1:6" x14ac:dyDescent="0.3">
      <c r="A70" s="6">
        <v>43528</v>
      </c>
      <c r="B70" s="1" t="s">
        <v>253</v>
      </c>
      <c r="C70" s="1" t="s">
        <v>262</v>
      </c>
      <c r="D70" s="1" t="s">
        <v>255</v>
      </c>
      <c r="E70" s="1" t="s">
        <v>14</v>
      </c>
      <c r="F70" s="8">
        <f t="array" ref="F70">VLOOKUP(E70,구장정보!$A$2:$B$10,2,FALSE) - SUM((A70=표3[경기일])*('경기 일정'!D70=표3[경기시간])*('경기 일정'!E70=표3[구장])*표3[인원합])</f>
        <v>506</v>
      </c>
    </row>
    <row r="71" spans="1:6" x14ac:dyDescent="0.3">
      <c r="A71" s="6">
        <v>43529</v>
      </c>
      <c r="B71" s="1" t="s">
        <v>258</v>
      </c>
      <c r="C71" s="1" t="s">
        <v>263</v>
      </c>
      <c r="D71" s="1" t="s">
        <v>257</v>
      </c>
      <c r="E71" s="1" t="s">
        <v>18</v>
      </c>
      <c r="F71" s="8">
        <f t="array" ref="F71">VLOOKUP(E71,구장정보!$A$2:$B$10,2,FALSE) - SUM((A71=표3[경기일])*('경기 일정'!D71=표3[경기시간])*('경기 일정'!E71=표3[구장])*표3[인원합])</f>
        <v>435</v>
      </c>
    </row>
    <row r="72" spans="1:6" x14ac:dyDescent="0.3">
      <c r="A72" s="6">
        <v>43529</v>
      </c>
      <c r="B72" s="1" t="s">
        <v>264</v>
      </c>
      <c r="C72" s="1" t="s">
        <v>254</v>
      </c>
      <c r="D72" s="1" t="s">
        <v>260</v>
      </c>
      <c r="E72" s="1" t="s">
        <v>28</v>
      </c>
      <c r="F72" s="8">
        <f t="array" ref="F72">VLOOKUP(E72,구장정보!$A$2:$B$10,2,FALSE) - SUM((A72=표3[경기일])*('경기 일정'!D72=표3[경기시간])*('경기 일정'!E72=표3[구장])*표3[인원합])</f>
        <v>447</v>
      </c>
    </row>
    <row r="73" spans="1:6" x14ac:dyDescent="0.3">
      <c r="A73" s="6">
        <v>43530</v>
      </c>
      <c r="B73" s="1" t="s">
        <v>264</v>
      </c>
      <c r="C73" s="1" t="s">
        <v>256</v>
      </c>
      <c r="D73" s="1" t="s">
        <v>257</v>
      </c>
      <c r="E73" s="1" t="s">
        <v>28</v>
      </c>
      <c r="F73" s="8">
        <f t="array" ref="F73">VLOOKUP(E73,구장정보!$A$2:$B$10,2,FALSE) - SUM((A73=표3[경기일])*('경기 일정'!D73=표3[경기시간])*('경기 일정'!E73=표3[구장])*표3[인원합])</f>
        <v>447</v>
      </c>
    </row>
    <row r="74" spans="1:6" x14ac:dyDescent="0.3">
      <c r="A74" s="6">
        <v>43532</v>
      </c>
      <c r="B74" s="1" t="s">
        <v>265</v>
      </c>
      <c r="C74" s="1" t="s">
        <v>254</v>
      </c>
      <c r="D74" s="1" t="s">
        <v>257</v>
      </c>
      <c r="E74" s="1" t="s">
        <v>16</v>
      </c>
      <c r="F74" s="8">
        <f t="array" ref="F74">VLOOKUP(E74,구장정보!$A$2:$B$10,2,FALSE) - SUM((A74=표3[경기일])*('경기 일정'!D74=표3[경기시간])*('경기 일정'!E74=표3[구장])*표3[인원합])</f>
        <v>342</v>
      </c>
    </row>
    <row r="75" spans="1:6" x14ac:dyDescent="0.3">
      <c r="A75" s="6">
        <v>43533</v>
      </c>
      <c r="B75" s="1" t="s">
        <v>261</v>
      </c>
      <c r="C75" s="1" t="s">
        <v>264</v>
      </c>
      <c r="D75" s="1" t="s">
        <v>257</v>
      </c>
      <c r="E75" s="1" t="s">
        <v>20</v>
      </c>
      <c r="F75" s="8">
        <f t="array" ref="F75">VLOOKUP(E75,구장정보!$A$2:$B$10,2,FALSE) - SUM((A75=표3[경기일])*('경기 일정'!D75=표3[경기시간])*('경기 일정'!E75=표3[구장])*표3[인원합])</f>
        <v>318</v>
      </c>
    </row>
    <row r="76" spans="1:6" x14ac:dyDescent="0.3">
      <c r="A76" s="6">
        <v>43534</v>
      </c>
      <c r="B76" s="1" t="s">
        <v>258</v>
      </c>
      <c r="C76" s="1" t="s">
        <v>254</v>
      </c>
      <c r="D76" s="1" t="s">
        <v>257</v>
      </c>
      <c r="E76" s="1" t="s">
        <v>18</v>
      </c>
      <c r="F76" s="8">
        <f t="array" ref="F76">VLOOKUP(E76,구장정보!$A$2:$B$10,2,FALSE) - SUM((A76=표3[경기일])*('경기 일정'!D76=표3[경기시간])*('경기 일정'!E76=표3[구장])*표3[인원합])</f>
        <v>435</v>
      </c>
    </row>
    <row r="77" spans="1:6" x14ac:dyDescent="0.3">
      <c r="A77" s="6">
        <v>43535</v>
      </c>
      <c r="B77" s="1" t="s">
        <v>265</v>
      </c>
      <c r="C77" s="1" t="s">
        <v>259</v>
      </c>
      <c r="D77" s="1" t="s">
        <v>257</v>
      </c>
      <c r="E77" s="1" t="s">
        <v>16</v>
      </c>
      <c r="F77" s="8">
        <f t="array" ref="F77">VLOOKUP(E77,구장정보!$A$2:$B$10,2,FALSE) - SUM((A77=표3[경기일])*('경기 일정'!D77=표3[경기시간])*('경기 일정'!E77=표3[구장])*표3[인원합])</f>
        <v>342</v>
      </c>
    </row>
    <row r="78" spans="1:6" x14ac:dyDescent="0.3">
      <c r="A78" s="6">
        <v>43536</v>
      </c>
      <c r="B78" s="1" t="s">
        <v>258</v>
      </c>
      <c r="C78" s="1" t="s">
        <v>256</v>
      </c>
      <c r="D78" s="1" t="s">
        <v>255</v>
      </c>
      <c r="E78" s="1" t="s">
        <v>18</v>
      </c>
      <c r="F78" s="8">
        <f t="array" ref="F78">VLOOKUP(E78,구장정보!$A$2:$B$10,2,FALSE) - SUM((A78=표3[경기일])*('경기 일정'!D78=표3[경기시간])*('경기 일정'!E78=표3[구장])*표3[인원합])</f>
        <v>435</v>
      </c>
    </row>
    <row r="79" spans="1:6" x14ac:dyDescent="0.3">
      <c r="A79" s="6">
        <v>43539</v>
      </c>
      <c r="B79" s="1" t="s">
        <v>265</v>
      </c>
      <c r="C79" s="1" t="s">
        <v>256</v>
      </c>
      <c r="D79" s="1" t="s">
        <v>255</v>
      </c>
      <c r="E79" s="1" t="s">
        <v>16</v>
      </c>
      <c r="F79" s="8">
        <f t="array" ref="F79">VLOOKUP(E79,구장정보!$A$2:$B$10,2,FALSE) - SUM((A79=표3[경기일])*('경기 일정'!D79=표3[경기시간])*('경기 일정'!E79=표3[구장])*표3[인원합])</f>
        <v>342</v>
      </c>
    </row>
    <row r="80" spans="1:6" x14ac:dyDescent="0.3">
      <c r="A80" s="6">
        <v>43539</v>
      </c>
      <c r="B80" s="1" t="s">
        <v>254</v>
      </c>
      <c r="C80" s="1" t="s">
        <v>258</v>
      </c>
      <c r="D80" s="1" t="s">
        <v>260</v>
      </c>
      <c r="E80" s="1" t="s">
        <v>24</v>
      </c>
      <c r="F80" s="8">
        <f t="array" ref="F80">VLOOKUP(E80,구장정보!$A$2:$B$10,2,FALSE) - SUM((A80=표3[경기일])*('경기 일정'!D80=표3[경기시간])*('경기 일정'!E80=표3[구장])*표3[인원합])</f>
        <v>544</v>
      </c>
    </row>
    <row r="81" spans="1:6" x14ac:dyDescent="0.3">
      <c r="A81" s="6">
        <v>43539</v>
      </c>
      <c r="B81" s="1" t="s">
        <v>261</v>
      </c>
      <c r="C81" s="1" t="s">
        <v>259</v>
      </c>
      <c r="D81" s="1" t="s">
        <v>255</v>
      </c>
      <c r="E81" s="1" t="s">
        <v>20</v>
      </c>
      <c r="F81" s="8">
        <f t="array" ref="F81">VLOOKUP(E81,구장정보!$A$2:$B$10,2,FALSE) - SUM((A81=표3[경기일])*('경기 일정'!D81=표3[경기시간])*('경기 일정'!E81=표3[구장])*표3[인원합])</f>
        <v>316</v>
      </c>
    </row>
    <row r="82" spans="1:6" x14ac:dyDescent="0.3">
      <c r="A82" s="6">
        <v>43540</v>
      </c>
      <c r="B82" s="1" t="s">
        <v>253</v>
      </c>
      <c r="C82" s="1" t="s">
        <v>258</v>
      </c>
      <c r="D82" s="1" t="s">
        <v>255</v>
      </c>
      <c r="E82" s="1" t="s">
        <v>14</v>
      </c>
      <c r="F82" s="8">
        <f t="array" ref="F82">VLOOKUP(E82,구장정보!$A$2:$B$10,2,FALSE) - SUM((A82=표3[경기일])*('경기 일정'!D82=표3[경기시간])*('경기 일정'!E82=표3[구장])*표3[인원합])</f>
        <v>506</v>
      </c>
    </row>
    <row r="83" spans="1:6" x14ac:dyDescent="0.3">
      <c r="A83" s="6">
        <v>43540</v>
      </c>
      <c r="B83" s="1" t="s">
        <v>259</v>
      </c>
      <c r="C83" s="1" t="s">
        <v>265</v>
      </c>
      <c r="D83" s="1" t="s">
        <v>257</v>
      </c>
      <c r="E83" s="1" t="s">
        <v>26</v>
      </c>
      <c r="F83" s="8">
        <f t="array" ref="F83">VLOOKUP(E83,구장정보!$A$2:$B$10,2,FALSE) - SUM((A83=표3[경기일])*('경기 일정'!D83=표3[경기시간])*('경기 일정'!E83=표3[구장])*표3[인원합])</f>
        <v>254</v>
      </c>
    </row>
    <row r="84" spans="1:6" x14ac:dyDescent="0.3">
      <c r="A84" s="6">
        <v>43542</v>
      </c>
      <c r="B84" s="1" t="s">
        <v>263</v>
      </c>
      <c r="C84" s="1" t="s">
        <v>256</v>
      </c>
      <c r="D84" s="1" t="s">
        <v>257</v>
      </c>
      <c r="E84" s="1" t="s">
        <v>22</v>
      </c>
      <c r="F84" s="8">
        <f t="array" ref="F84">VLOOKUP(E84,구장정보!$A$2:$B$10,2,FALSE) - SUM((A84=표3[경기일])*('경기 일정'!D84=표3[경기시간])*('경기 일정'!E84=표3[구장])*표3[인원합])</f>
        <v>371</v>
      </c>
    </row>
    <row r="85" spans="1:6" x14ac:dyDescent="0.3">
      <c r="A85" s="6">
        <v>43542</v>
      </c>
      <c r="B85" s="1" t="s">
        <v>262</v>
      </c>
      <c r="C85" s="1" t="s">
        <v>265</v>
      </c>
      <c r="D85" s="1" t="s">
        <v>255</v>
      </c>
      <c r="E85" s="1" t="s">
        <v>30</v>
      </c>
      <c r="F85" s="8">
        <f t="array" ref="F85">VLOOKUP(E85,구장정보!$A$2:$B$10,2,FALSE) - SUM((A85=표3[경기일])*('경기 일정'!D85=표3[경기시간])*('경기 일정'!E85=표3[구장])*표3[인원합])</f>
        <v>135</v>
      </c>
    </row>
    <row r="86" spans="1:6" x14ac:dyDescent="0.3">
      <c r="A86" s="6">
        <v>43543</v>
      </c>
      <c r="B86" s="1" t="s">
        <v>256</v>
      </c>
      <c r="C86" s="1" t="s">
        <v>253</v>
      </c>
      <c r="D86" s="1" t="s">
        <v>260</v>
      </c>
      <c r="E86" s="1" t="s">
        <v>26</v>
      </c>
      <c r="F86" s="8">
        <f t="array" ref="F86">VLOOKUP(E86,구장정보!$A$2:$B$10,2,FALSE) - SUM((A86=표3[경기일])*('경기 일정'!D86=표3[경기시간])*('경기 일정'!E86=표3[구장])*표3[인원합])</f>
        <v>254</v>
      </c>
    </row>
    <row r="87" spans="1:6" x14ac:dyDescent="0.3">
      <c r="A87" s="6">
        <v>43544</v>
      </c>
      <c r="B87" s="1" t="s">
        <v>256</v>
      </c>
      <c r="C87" s="1" t="s">
        <v>259</v>
      </c>
      <c r="D87" s="1" t="s">
        <v>257</v>
      </c>
      <c r="E87" s="1" t="s">
        <v>26</v>
      </c>
      <c r="F87" s="8">
        <f t="array" ref="F87">VLOOKUP(E87,구장정보!$A$2:$B$10,2,FALSE) - SUM((A87=표3[경기일])*('경기 일정'!D87=표3[경기시간])*('경기 일정'!E87=표3[구장])*표3[인원합])</f>
        <v>254</v>
      </c>
    </row>
    <row r="88" spans="1:6" x14ac:dyDescent="0.3">
      <c r="A88" s="6">
        <v>43544</v>
      </c>
      <c r="B88" s="1" t="s">
        <v>253</v>
      </c>
      <c r="C88" s="1" t="s">
        <v>263</v>
      </c>
      <c r="D88" s="1" t="s">
        <v>260</v>
      </c>
      <c r="E88" s="1" t="s">
        <v>14</v>
      </c>
      <c r="F88" s="8">
        <f t="array" ref="F88">VLOOKUP(E88,구장정보!$A$2:$B$10,2,FALSE) - SUM((A88=표3[경기일])*('경기 일정'!D88=표3[경기시간])*('경기 일정'!E88=표3[구장])*표3[인원합])</f>
        <v>506</v>
      </c>
    </row>
    <row r="89" spans="1:6" x14ac:dyDescent="0.3">
      <c r="A89" s="6">
        <v>43544</v>
      </c>
      <c r="B89" s="1" t="s">
        <v>265</v>
      </c>
      <c r="C89" s="1" t="s">
        <v>264</v>
      </c>
      <c r="D89" s="1" t="s">
        <v>260</v>
      </c>
      <c r="E89" s="1" t="s">
        <v>30</v>
      </c>
      <c r="F89" s="8">
        <f t="array" ref="F89">VLOOKUP(E89,구장정보!$A$2:$B$10,2,FALSE) - SUM((A89=표3[경기일])*('경기 일정'!D89=표3[경기시간])*('경기 일정'!E89=표3[구장])*표3[인원합])</f>
        <v>130</v>
      </c>
    </row>
    <row r="90" spans="1:6" x14ac:dyDescent="0.3">
      <c r="A90" s="6">
        <v>43544</v>
      </c>
      <c r="B90" s="1" t="s">
        <v>254</v>
      </c>
      <c r="C90" s="1" t="s">
        <v>261</v>
      </c>
      <c r="D90" s="1" t="s">
        <v>260</v>
      </c>
      <c r="E90" s="1" t="s">
        <v>24</v>
      </c>
      <c r="F90" s="8">
        <f t="array" ref="F90">VLOOKUP(E90,구장정보!$A$2:$B$10,2,FALSE) - SUM((A90=표3[경기일])*('경기 일정'!D90=표3[경기시간])*('경기 일정'!E90=표3[구장])*표3[인원합])</f>
        <v>544</v>
      </c>
    </row>
    <row r="91" spans="1:6" x14ac:dyDescent="0.3">
      <c r="A91" s="6">
        <v>43545</v>
      </c>
      <c r="B91" s="1" t="s">
        <v>259</v>
      </c>
      <c r="C91" s="1" t="s">
        <v>264</v>
      </c>
      <c r="D91" s="1" t="s">
        <v>257</v>
      </c>
      <c r="E91" s="1" t="s">
        <v>26</v>
      </c>
      <c r="F91" s="8">
        <f t="array" ref="F91">VLOOKUP(E91,구장정보!$A$2:$B$10,2,FALSE) - SUM((A91=표3[경기일])*('경기 일정'!D91=표3[경기시간])*('경기 일정'!E91=표3[구장])*표3[인원합])</f>
        <v>254</v>
      </c>
    </row>
    <row r="92" spans="1:6" x14ac:dyDescent="0.3">
      <c r="A92" s="6">
        <v>43546</v>
      </c>
      <c r="B92" s="1" t="s">
        <v>253</v>
      </c>
      <c r="C92" s="1" t="s">
        <v>263</v>
      </c>
      <c r="D92" s="1" t="s">
        <v>260</v>
      </c>
      <c r="E92" s="1" t="s">
        <v>14</v>
      </c>
      <c r="F92" s="8">
        <f t="array" ref="F92">VLOOKUP(E92,구장정보!$A$2:$B$10,2,FALSE) - SUM((A92=표3[경기일])*('경기 일정'!D92=표3[경기시간])*('경기 일정'!E92=표3[구장])*표3[인원합])</f>
        <v>506</v>
      </c>
    </row>
    <row r="93" spans="1:6" x14ac:dyDescent="0.3">
      <c r="A93" s="6">
        <v>43546</v>
      </c>
      <c r="B93" s="1" t="s">
        <v>261</v>
      </c>
      <c r="C93" s="1" t="s">
        <v>254</v>
      </c>
      <c r="D93" s="1" t="s">
        <v>257</v>
      </c>
      <c r="E93" s="1" t="s">
        <v>20</v>
      </c>
      <c r="F93" s="8">
        <f t="array" ref="F93">VLOOKUP(E93,구장정보!$A$2:$B$10,2,FALSE) - SUM((A93=표3[경기일])*('경기 일정'!D93=표3[경기시간])*('경기 일정'!E93=표3[구장])*표3[인원합])</f>
        <v>326</v>
      </c>
    </row>
    <row r="94" spans="1:6" x14ac:dyDescent="0.3">
      <c r="A94" s="6">
        <v>43547</v>
      </c>
      <c r="B94" s="1" t="s">
        <v>256</v>
      </c>
      <c r="C94" s="1" t="s">
        <v>264</v>
      </c>
      <c r="D94" s="1" t="s">
        <v>260</v>
      </c>
      <c r="E94" s="1" t="s">
        <v>26</v>
      </c>
      <c r="F94" s="8">
        <f t="array" ref="F94">VLOOKUP(E94,구장정보!$A$2:$B$10,2,FALSE) - SUM((A94=표3[경기일])*('경기 일정'!D94=표3[경기시간])*('경기 일정'!E94=표3[구장])*표3[인원합])</f>
        <v>254</v>
      </c>
    </row>
    <row r="95" spans="1:6" x14ac:dyDescent="0.3">
      <c r="A95" s="6">
        <v>43548</v>
      </c>
      <c r="B95" s="1" t="s">
        <v>253</v>
      </c>
      <c r="C95" s="1" t="s">
        <v>265</v>
      </c>
      <c r="D95" s="1" t="s">
        <v>257</v>
      </c>
      <c r="E95" s="1" t="s">
        <v>14</v>
      </c>
      <c r="F95" s="8">
        <f t="array" ref="F95">VLOOKUP(E95,구장정보!$A$2:$B$10,2,FALSE) - SUM((A95=표3[경기일])*('경기 일정'!D95=표3[경기시간])*('경기 일정'!E95=표3[구장])*표3[인원합])</f>
        <v>506</v>
      </c>
    </row>
    <row r="96" spans="1:6" x14ac:dyDescent="0.3">
      <c r="A96" s="6">
        <v>43548</v>
      </c>
      <c r="B96" s="1" t="s">
        <v>256</v>
      </c>
      <c r="C96" s="1" t="s">
        <v>254</v>
      </c>
      <c r="D96" s="1" t="s">
        <v>255</v>
      </c>
      <c r="E96" s="1" t="s">
        <v>26</v>
      </c>
      <c r="F96" s="8">
        <f t="array" ref="F96">VLOOKUP(E96,구장정보!$A$2:$B$10,2,FALSE) - SUM((A96=표3[경기일])*('경기 일정'!D96=표3[경기시간])*('경기 일정'!E96=표3[구장])*표3[인원합])</f>
        <v>254</v>
      </c>
    </row>
    <row r="97" spans="1:6" x14ac:dyDescent="0.3">
      <c r="A97" s="6">
        <v>43548</v>
      </c>
      <c r="B97" s="1" t="s">
        <v>264</v>
      </c>
      <c r="C97" s="1" t="s">
        <v>259</v>
      </c>
      <c r="D97" s="1" t="s">
        <v>257</v>
      </c>
      <c r="E97" s="1" t="s">
        <v>28</v>
      </c>
      <c r="F97" s="8">
        <f t="array" ref="F97">VLOOKUP(E97,구장정보!$A$2:$B$10,2,FALSE) - SUM((A97=표3[경기일])*('경기 일정'!D97=표3[경기시간])*('경기 일정'!E97=표3[구장])*표3[인원합])</f>
        <v>447</v>
      </c>
    </row>
    <row r="98" spans="1:6" x14ac:dyDescent="0.3">
      <c r="A98" s="6">
        <v>43549</v>
      </c>
      <c r="B98" s="1" t="s">
        <v>258</v>
      </c>
      <c r="C98" s="1" t="s">
        <v>254</v>
      </c>
      <c r="D98" s="1" t="s">
        <v>257</v>
      </c>
      <c r="E98" s="1" t="s">
        <v>18</v>
      </c>
      <c r="F98" s="8">
        <f t="array" ref="F98">VLOOKUP(E98,구장정보!$A$2:$B$10,2,FALSE) - SUM((A98=표3[경기일])*('경기 일정'!D98=표3[경기시간])*('경기 일정'!E98=표3[구장])*표3[인원합])</f>
        <v>418</v>
      </c>
    </row>
    <row r="99" spans="1:6" x14ac:dyDescent="0.3">
      <c r="A99" s="6">
        <v>43549</v>
      </c>
      <c r="B99" s="1" t="s">
        <v>261</v>
      </c>
      <c r="C99" s="1" t="s">
        <v>263</v>
      </c>
      <c r="D99" s="1" t="s">
        <v>257</v>
      </c>
      <c r="E99" s="1" t="s">
        <v>20</v>
      </c>
      <c r="F99" s="8">
        <f t="array" ref="F99">VLOOKUP(E99,구장정보!$A$2:$B$10,2,FALSE) - SUM((A99=표3[경기일])*('경기 일정'!D99=표3[경기시간])*('경기 일정'!E99=표3[구장])*표3[인원합])</f>
        <v>320</v>
      </c>
    </row>
    <row r="100" spans="1:6" x14ac:dyDescent="0.3">
      <c r="A100" s="6">
        <v>43549</v>
      </c>
      <c r="B100" s="1" t="s">
        <v>264</v>
      </c>
      <c r="C100" s="1" t="s">
        <v>256</v>
      </c>
      <c r="D100" s="1" t="s">
        <v>260</v>
      </c>
      <c r="E100" s="1" t="s">
        <v>28</v>
      </c>
      <c r="F100" s="8">
        <f t="array" ref="F100">VLOOKUP(E100,구장정보!$A$2:$B$10,2,FALSE) - SUM((A100=표3[경기일])*('경기 일정'!D100=표3[경기시간])*('경기 일정'!E100=표3[구장])*표3[인원합])</f>
        <v>447</v>
      </c>
    </row>
    <row r="101" spans="1:6" x14ac:dyDescent="0.3">
      <c r="A101" s="6">
        <v>43550</v>
      </c>
      <c r="B101" s="1" t="s">
        <v>263</v>
      </c>
      <c r="C101" s="1" t="s">
        <v>265</v>
      </c>
      <c r="D101" s="1" t="s">
        <v>255</v>
      </c>
      <c r="E101" s="1" t="s">
        <v>16</v>
      </c>
      <c r="F101" s="8">
        <f t="array" ref="F101">VLOOKUP(E101,구장정보!$A$2:$B$10,2,FALSE) - SUM((A101=표3[경기일])*('경기 일정'!D101=표3[경기시간])*('경기 일정'!E101=표3[구장])*표3[인원합])</f>
        <v>342</v>
      </c>
    </row>
    <row r="102" spans="1:6" x14ac:dyDescent="0.3">
      <c r="A102" s="6">
        <v>43550</v>
      </c>
      <c r="B102" s="1" t="s">
        <v>259</v>
      </c>
      <c r="C102" s="1" t="s">
        <v>261</v>
      </c>
      <c r="D102" s="1" t="s">
        <v>255</v>
      </c>
      <c r="E102" s="1" t="s">
        <v>26</v>
      </c>
      <c r="F102" s="8">
        <f t="array" ref="F102">VLOOKUP(E102,구장정보!$A$2:$B$10,2,FALSE) - SUM((A102=표3[경기일])*('경기 일정'!D102=표3[경기시간])*('경기 일정'!E102=표3[구장])*표3[인원합])</f>
        <v>254</v>
      </c>
    </row>
    <row r="103" spans="1:6" x14ac:dyDescent="0.3">
      <c r="A103" s="6">
        <v>43550</v>
      </c>
      <c r="B103" s="1" t="s">
        <v>254</v>
      </c>
      <c r="C103" s="1" t="s">
        <v>264</v>
      </c>
      <c r="D103" s="1" t="s">
        <v>260</v>
      </c>
      <c r="E103" s="1" t="s">
        <v>24</v>
      </c>
      <c r="F103" s="8">
        <f t="array" ref="F103">VLOOKUP(E103,구장정보!$A$2:$B$10,2,FALSE) - SUM((A103=표3[경기일])*('경기 일정'!D103=표3[경기시간])*('경기 일정'!E103=표3[구장])*표3[인원합])</f>
        <v>544</v>
      </c>
    </row>
    <row r="104" spans="1:6" x14ac:dyDescent="0.3">
      <c r="A104" s="6">
        <v>43551</v>
      </c>
      <c r="B104" s="1" t="s">
        <v>261</v>
      </c>
      <c r="C104" s="1" t="s">
        <v>256</v>
      </c>
      <c r="D104" s="1" t="s">
        <v>257</v>
      </c>
      <c r="E104" s="1" t="s">
        <v>20</v>
      </c>
      <c r="F104" s="8">
        <f t="array" ref="F104">VLOOKUP(E104,구장정보!$A$2:$B$10,2,FALSE) - SUM((A104=표3[경기일])*('경기 일정'!D104=표3[경기시간])*('경기 일정'!E104=표3[구장])*표3[인원합])</f>
        <v>326</v>
      </c>
    </row>
    <row r="105" spans="1:6" x14ac:dyDescent="0.3">
      <c r="A105" s="6">
        <v>43552</v>
      </c>
      <c r="B105" s="1" t="s">
        <v>254</v>
      </c>
      <c r="C105" s="1" t="s">
        <v>258</v>
      </c>
      <c r="D105" s="1" t="s">
        <v>255</v>
      </c>
      <c r="E105" s="1" t="s">
        <v>24</v>
      </c>
      <c r="F105" s="8">
        <f t="array" ref="F105">VLOOKUP(E105,구장정보!$A$2:$B$10,2,FALSE) - SUM((A105=표3[경기일])*('경기 일정'!D105=표3[경기시간])*('경기 일정'!E105=표3[구장])*표3[인원합])</f>
        <v>537</v>
      </c>
    </row>
    <row r="106" spans="1:6" x14ac:dyDescent="0.3">
      <c r="A106" s="6">
        <v>43552</v>
      </c>
      <c r="B106" s="1" t="s">
        <v>259</v>
      </c>
      <c r="C106" s="1" t="s">
        <v>265</v>
      </c>
      <c r="D106" s="1" t="s">
        <v>260</v>
      </c>
      <c r="E106" s="1" t="s">
        <v>26</v>
      </c>
      <c r="F106" s="8">
        <f t="array" ref="F106">VLOOKUP(E106,구장정보!$A$2:$B$10,2,FALSE) - SUM((A106=표3[경기일])*('경기 일정'!D106=표3[경기시간])*('경기 일정'!E106=표3[구장])*표3[인원합])</f>
        <v>243</v>
      </c>
    </row>
    <row r="107" spans="1:6" x14ac:dyDescent="0.3">
      <c r="A107" s="6">
        <v>43552</v>
      </c>
      <c r="B107" s="1" t="s">
        <v>262</v>
      </c>
      <c r="C107" s="1" t="s">
        <v>264</v>
      </c>
      <c r="D107" s="1" t="s">
        <v>257</v>
      </c>
      <c r="E107" s="1" t="s">
        <v>30</v>
      </c>
      <c r="F107" s="8">
        <f t="array" ref="F107">VLOOKUP(E107,구장정보!$A$2:$B$10,2,FALSE) - SUM((A107=표3[경기일])*('경기 일정'!D107=표3[경기시간])*('경기 일정'!E107=표3[구장])*표3[인원합])</f>
        <v>129</v>
      </c>
    </row>
    <row r="108" spans="1:6" x14ac:dyDescent="0.3">
      <c r="A108" s="6">
        <v>43552</v>
      </c>
      <c r="B108" s="1" t="s">
        <v>263</v>
      </c>
      <c r="C108" s="1" t="s">
        <v>253</v>
      </c>
      <c r="D108" s="1" t="s">
        <v>257</v>
      </c>
      <c r="E108" s="1" t="s">
        <v>22</v>
      </c>
      <c r="F108" s="8">
        <f t="array" ref="F108">VLOOKUP(E108,구장정보!$A$2:$B$10,2,FALSE) - SUM((A108=표3[경기일])*('경기 일정'!D108=표3[경기시간])*('경기 일정'!E108=표3[구장])*표3[인원합])</f>
        <v>371</v>
      </c>
    </row>
    <row r="109" spans="1:6" x14ac:dyDescent="0.3">
      <c r="A109" s="6">
        <v>43553</v>
      </c>
      <c r="B109" s="1" t="s">
        <v>263</v>
      </c>
      <c r="C109" s="1" t="s">
        <v>259</v>
      </c>
      <c r="D109" s="1" t="s">
        <v>255</v>
      </c>
      <c r="E109" s="1" t="s">
        <v>22</v>
      </c>
      <c r="F109" s="8">
        <f t="array" ref="F109">VLOOKUP(E109,구장정보!$A$2:$B$10,2,FALSE) - SUM((A109=표3[경기일])*('경기 일정'!D109=표3[경기시간])*('경기 일정'!E109=표3[구장])*표3[인원합])</f>
        <v>371</v>
      </c>
    </row>
    <row r="110" spans="1:6" x14ac:dyDescent="0.3">
      <c r="A110" s="6">
        <v>43553</v>
      </c>
      <c r="B110" s="1" t="s">
        <v>254</v>
      </c>
      <c r="C110" s="1" t="s">
        <v>264</v>
      </c>
      <c r="D110" s="1" t="s">
        <v>257</v>
      </c>
      <c r="E110" s="1" t="s">
        <v>24</v>
      </c>
      <c r="F110" s="8">
        <f t="array" ref="F110">VLOOKUP(E110,구장정보!$A$2:$B$10,2,FALSE) - SUM((A110=표3[경기일])*('경기 일정'!D110=표3[경기시간])*('경기 일정'!E110=표3[구장])*표3[인원합])</f>
        <v>544</v>
      </c>
    </row>
    <row r="111" spans="1:6" x14ac:dyDescent="0.3">
      <c r="A111" s="6">
        <v>43554</v>
      </c>
      <c r="B111" s="1" t="s">
        <v>258</v>
      </c>
      <c r="C111" s="1" t="s">
        <v>253</v>
      </c>
      <c r="D111" s="1" t="s">
        <v>255</v>
      </c>
      <c r="E111" s="1" t="s">
        <v>18</v>
      </c>
      <c r="F111" s="8">
        <f t="array" ref="F111">VLOOKUP(E111,구장정보!$A$2:$B$10,2,FALSE) - SUM((A111=표3[경기일])*('경기 일정'!D111=표3[경기시간])*('경기 일정'!E111=표3[구장])*표3[인원합])</f>
        <v>435</v>
      </c>
    </row>
    <row r="112" spans="1:6" x14ac:dyDescent="0.3">
      <c r="A112" s="6">
        <v>43554</v>
      </c>
      <c r="B112" s="1" t="s">
        <v>262</v>
      </c>
      <c r="C112" s="1" t="s">
        <v>261</v>
      </c>
      <c r="D112" s="1" t="s">
        <v>255</v>
      </c>
      <c r="E112" s="1" t="s">
        <v>30</v>
      </c>
      <c r="F112" s="8">
        <f t="array" ref="F112">VLOOKUP(E112,구장정보!$A$2:$B$10,2,FALSE) - SUM((A112=표3[경기일])*('경기 일정'!D112=표3[경기시간])*('경기 일정'!E112=표3[구장])*표3[인원합])</f>
        <v>135</v>
      </c>
    </row>
    <row r="113" spans="1:6" x14ac:dyDescent="0.3">
      <c r="A113" s="6">
        <v>43555</v>
      </c>
      <c r="B113" s="1" t="s">
        <v>254</v>
      </c>
      <c r="C113" s="1" t="s">
        <v>259</v>
      </c>
      <c r="D113" s="1" t="s">
        <v>257</v>
      </c>
      <c r="E113" s="1" t="s">
        <v>24</v>
      </c>
      <c r="F113" s="8">
        <f t="array" ref="F113">VLOOKUP(E113,구장정보!$A$2:$B$10,2,FALSE) - SUM((A113=표3[경기일])*('경기 일정'!D113=표3[경기시간])*('경기 일정'!E113=표3[구장])*표3[인원합])</f>
        <v>544</v>
      </c>
    </row>
    <row r="114" spans="1:6" x14ac:dyDescent="0.3">
      <c r="A114" s="6">
        <v>43555</v>
      </c>
      <c r="B114" s="1" t="s">
        <v>256</v>
      </c>
      <c r="C114" s="1" t="s">
        <v>258</v>
      </c>
      <c r="D114" s="1" t="s">
        <v>255</v>
      </c>
      <c r="E114" s="1" t="s">
        <v>26</v>
      </c>
      <c r="F114" s="8">
        <f t="array" ref="F114">VLOOKUP(E114,구장정보!$A$2:$B$10,2,FALSE) - SUM((A114=표3[경기일])*('경기 일정'!D114=표3[경기시간])*('경기 일정'!E114=표3[구장])*표3[인원합])</f>
        <v>254</v>
      </c>
    </row>
    <row r="115" spans="1:6" x14ac:dyDescent="0.3">
      <c r="A115" s="6">
        <v>43556</v>
      </c>
      <c r="B115" s="1" t="s">
        <v>265</v>
      </c>
      <c r="C115" s="1" t="s">
        <v>256</v>
      </c>
      <c r="D115" s="1" t="s">
        <v>257</v>
      </c>
      <c r="E115" s="1" t="s">
        <v>16</v>
      </c>
      <c r="F115" s="8">
        <f t="array" ref="F115">VLOOKUP(E115,구장정보!$A$2:$B$10,2,FALSE) - SUM((A115=표3[경기일])*('경기 일정'!D115=표3[경기시간])*('경기 일정'!E115=표3[구장])*표3[인원합])</f>
        <v>342</v>
      </c>
    </row>
    <row r="116" spans="1:6" x14ac:dyDescent="0.3">
      <c r="A116" s="6">
        <v>43556</v>
      </c>
      <c r="B116" s="1" t="s">
        <v>262</v>
      </c>
      <c r="C116" s="1" t="s">
        <v>263</v>
      </c>
      <c r="D116" s="1" t="s">
        <v>257</v>
      </c>
      <c r="E116" s="1" t="s">
        <v>30</v>
      </c>
      <c r="F116" s="8">
        <f t="array" ref="F116">VLOOKUP(E116,구장정보!$A$2:$B$10,2,FALSE) - SUM((A116=표3[경기일])*('경기 일정'!D116=표3[경기시간])*('경기 일정'!E116=표3[구장])*표3[인원합])</f>
        <v>135</v>
      </c>
    </row>
    <row r="117" spans="1:6" x14ac:dyDescent="0.3">
      <c r="A117" s="6">
        <v>43557</v>
      </c>
      <c r="B117" s="1" t="s">
        <v>265</v>
      </c>
      <c r="C117" s="1" t="s">
        <v>258</v>
      </c>
      <c r="D117" s="1" t="s">
        <v>255</v>
      </c>
      <c r="E117" s="1" t="s">
        <v>16</v>
      </c>
      <c r="F117" s="8">
        <f t="array" ref="F117">VLOOKUP(E117,구장정보!$A$2:$B$10,2,FALSE) - SUM((A117=표3[경기일])*('경기 일정'!D117=표3[경기시간])*('경기 일정'!E117=표3[구장])*표3[인원합])</f>
        <v>342</v>
      </c>
    </row>
    <row r="118" spans="1:6" x14ac:dyDescent="0.3">
      <c r="A118" s="6">
        <v>43557</v>
      </c>
      <c r="B118" s="1" t="s">
        <v>256</v>
      </c>
      <c r="C118" s="1" t="s">
        <v>262</v>
      </c>
      <c r="D118" s="1" t="s">
        <v>255</v>
      </c>
      <c r="E118" s="1" t="s">
        <v>26</v>
      </c>
      <c r="F118" s="8">
        <f t="array" ref="F118">VLOOKUP(E118,구장정보!$A$2:$B$10,2,FALSE) - SUM((A118=표3[경기일])*('경기 일정'!D118=표3[경기시간])*('경기 일정'!E118=표3[구장])*표3[인원합])</f>
        <v>254</v>
      </c>
    </row>
    <row r="119" spans="1:6" x14ac:dyDescent="0.3">
      <c r="A119" s="6">
        <v>43557</v>
      </c>
      <c r="B119" s="1" t="s">
        <v>254</v>
      </c>
      <c r="C119" s="1" t="s">
        <v>253</v>
      </c>
      <c r="D119" s="1" t="s">
        <v>260</v>
      </c>
      <c r="E119" s="1" t="s">
        <v>24</v>
      </c>
      <c r="F119" s="8">
        <f t="array" ref="F119">VLOOKUP(E119,구장정보!$A$2:$B$10,2,FALSE) - SUM((A119=표3[경기일])*('경기 일정'!D119=표3[경기시간])*('경기 일정'!E119=표3[구장])*표3[인원합])</f>
        <v>544</v>
      </c>
    </row>
    <row r="120" spans="1:6" x14ac:dyDescent="0.3">
      <c r="A120" s="6">
        <v>43557</v>
      </c>
      <c r="B120" s="1" t="s">
        <v>262</v>
      </c>
      <c r="C120" s="1" t="s">
        <v>263</v>
      </c>
      <c r="D120" s="1" t="s">
        <v>260</v>
      </c>
      <c r="E120" s="1" t="s">
        <v>30</v>
      </c>
      <c r="F120" s="8">
        <f t="array" ref="F120">VLOOKUP(E120,구장정보!$A$2:$B$10,2,FALSE) - SUM((A120=표3[경기일])*('경기 일정'!D120=표3[경기시간])*('경기 일정'!E120=표3[구장])*표3[인원합])</f>
        <v>135</v>
      </c>
    </row>
    <row r="121" spans="1:6" x14ac:dyDescent="0.3">
      <c r="A121" s="6">
        <v>43558</v>
      </c>
      <c r="B121" s="1" t="s">
        <v>263</v>
      </c>
      <c r="C121" s="1" t="s">
        <v>261</v>
      </c>
      <c r="D121" s="1" t="s">
        <v>255</v>
      </c>
      <c r="E121" s="1" t="s">
        <v>22</v>
      </c>
      <c r="F121" s="8">
        <f t="array" ref="F121">VLOOKUP(E121,구장정보!$A$2:$B$10,2,FALSE) - SUM((A121=표3[경기일])*('경기 일정'!D121=표3[경기시간])*('경기 일정'!E121=표3[구장])*표3[인원합])</f>
        <v>371</v>
      </c>
    </row>
    <row r="122" spans="1:6" x14ac:dyDescent="0.3">
      <c r="A122" s="6">
        <v>43560</v>
      </c>
      <c r="B122" s="1" t="s">
        <v>265</v>
      </c>
      <c r="C122" s="1" t="s">
        <v>262</v>
      </c>
      <c r="D122" s="1" t="s">
        <v>257</v>
      </c>
      <c r="E122" s="1" t="s">
        <v>16</v>
      </c>
      <c r="F122" s="8">
        <f t="array" ref="F122">VLOOKUP(E122,구장정보!$A$2:$B$10,2,FALSE) - SUM((A122=표3[경기일])*('경기 일정'!D122=표3[경기시간])*('경기 일정'!E122=표3[구장])*표3[인원합])</f>
        <v>342</v>
      </c>
    </row>
    <row r="123" spans="1:6" x14ac:dyDescent="0.3">
      <c r="A123" s="6">
        <v>43560</v>
      </c>
      <c r="B123" s="1" t="s">
        <v>259</v>
      </c>
      <c r="C123" s="1" t="s">
        <v>258</v>
      </c>
      <c r="D123" s="1" t="s">
        <v>255</v>
      </c>
      <c r="E123" s="1" t="s">
        <v>26</v>
      </c>
      <c r="F123" s="8">
        <f t="array" ref="F123">VLOOKUP(E123,구장정보!$A$2:$B$10,2,FALSE) - SUM((A123=표3[경기일])*('경기 일정'!D123=표3[경기시간])*('경기 일정'!E123=표3[구장])*표3[인원합])</f>
        <v>254</v>
      </c>
    </row>
    <row r="124" spans="1:6" x14ac:dyDescent="0.3">
      <c r="A124" s="6">
        <v>43561</v>
      </c>
      <c r="B124" s="1" t="s">
        <v>256</v>
      </c>
      <c r="C124" s="1" t="s">
        <v>265</v>
      </c>
      <c r="D124" s="1" t="s">
        <v>260</v>
      </c>
      <c r="E124" s="1" t="s">
        <v>26</v>
      </c>
      <c r="F124" s="8">
        <f t="array" ref="F124">VLOOKUP(E124,구장정보!$A$2:$B$10,2,FALSE) - SUM((A124=표3[경기일])*('경기 일정'!D124=표3[경기시간])*('경기 일정'!E124=표3[구장])*표3[인원합])</f>
        <v>254</v>
      </c>
    </row>
    <row r="125" spans="1:6" x14ac:dyDescent="0.3">
      <c r="A125" s="6">
        <v>43562</v>
      </c>
      <c r="B125" s="1" t="s">
        <v>265</v>
      </c>
      <c r="C125" s="1" t="s">
        <v>263</v>
      </c>
      <c r="D125" s="1" t="s">
        <v>260</v>
      </c>
      <c r="E125" s="1" t="s">
        <v>16</v>
      </c>
      <c r="F125" s="8">
        <f t="array" ref="F125">VLOOKUP(E125,구장정보!$A$2:$B$10,2,FALSE) - SUM((A125=표3[경기일])*('경기 일정'!D125=표3[경기시간])*('경기 일정'!E125=표3[구장])*표3[인원합])</f>
        <v>342</v>
      </c>
    </row>
    <row r="126" spans="1:6" x14ac:dyDescent="0.3">
      <c r="A126" s="6">
        <v>43562</v>
      </c>
      <c r="B126" s="1" t="s">
        <v>259</v>
      </c>
      <c r="C126" s="1" t="s">
        <v>256</v>
      </c>
      <c r="D126" s="1" t="s">
        <v>255</v>
      </c>
      <c r="E126" s="1" t="s">
        <v>26</v>
      </c>
      <c r="F126" s="8">
        <f t="array" ref="F126">VLOOKUP(E126,구장정보!$A$2:$B$10,2,FALSE) - SUM((A126=표3[경기일])*('경기 일정'!D126=표3[경기시간])*('경기 일정'!E126=표3[구장])*표3[인원합])</f>
        <v>254</v>
      </c>
    </row>
    <row r="127" spans="1:6" x14ac:dyDescent="0.3">
      <c r="A127" s="6">
        <v>43562</v>
      </c>
      <c r="B127" s="1" t="s">
        <v>264</v>
      </c>
      <c r="C127" s="1" t="s">
        <v>258</v>
      </c>
      <c r="D127" s="1" t="s">
        <v>255</v>
      </c>
      <c r="E127" s="1" t="s">
        <v>28</v>
      </c>
      <c r="F127" s="8">
        <f t="array" ref="F127">VLOOKUP(E127,구장정보!$A$2:$B$10,2,FALSE) - SUM((A127=표3[경기일])*('경기 일정'!D127=표3[경기시간])*('경기 일정'!E127=표3[구장])*표3[인원합])</f>
        <v>447</v>
      </c>
    </row>
    <row r="128" spans="1:6" x14ac:dyDescent="0.3">
      <c r="A128" s="6">
        <v>43562</v>
      </c>
      <c r="B128" s="1" t="s">
        <v>261</v>
      </c>
      <c r="C128" s="1" t="s">
        <v>253</v>
      </c>
      <c r="D128" s="1" t="s">
        <v>257</v>
      </c>
      <c r="E128" s="1" t="s">
        <v>20</v>
      </c>
      <c r="F128" s="8">
        <f t="array" ref="F128">VLOOKUP(E128,구장정보!$A$2:$B$10,2,FALSE) - SUM((A128=표3[경기일])*('경기 일정'!D128=표3[경기시간])*('경기 일정'!E128=표3[구장])*표3[인원합])</f>
        <v>326</v>
      </c>
    </row>
    <row r="129" spans="1:6" x14ac:dyDescent="0.3">
      <c r="A129" s="6">
        <v>43563</v>
      </c>
      <c r="B129" s="1" t="s">
        <v>263</v>
      </c>
      <c r="C129" s="1" t="s">
        <v>258</v>
      </c>
      <c r="D129" s="1" t="s">
        <v>255</v>
      </c>
      <c r="E129" s="1" t="s">
        <v>22</v>
      </c>
      <c r="F129" s="8">
        <f t="array" ref="F129">VLOOKUP(E129,구장정보!$A$2:$B$10,2,FALSE) - SUM((A129=표3[경기일])*('경기 일정'!D129=표3[경기시간])*('경기 일정'!E129=표3[구장])*표3[인원합])</f>
        <v>371</v>
      </c>
    </row>
    <row r="130" spans="1:6" x14ac:dyDescent="0.3">
      <c r="A130" s="6">
        <v>43564</v>
      </c>
      <c r="B130" s="1" t="s">
        <v>265</v>
      </c>
      <c r="C130" s="1" t="s">
        <v>253</v>
      </c>
      <c r="D130" s="1" t="s">
        <v>255</v>
      </c>
      <c r="E130" s="1" t="s">
        <v>16</v>
      </c>
      <c r="F130" s="8">
        <f t="array" ref="F130">VLOOKUP(E130,구장정보!$A$2:$B$10,2,FALSE) - SUM((A130=표3[경기일])*('경기 일정'!D130=표3[경기시간])*('경기 일정'!E130=표3[구장])*표3[인원합])</f>
        <v>342</v>
      </c>
    </row>
    <row r="131" spans="1:6" x14ac:dyDescent="0.3">
      <c r="A131" s="6">
        <v>43564</v>
      </c>
      <c r="B131" s="1" t="s">
        <v>264</v>
      </c>
      <c r="C131" s="1" t="s">
        <v>258</v>
      </c>
      <c r="D131" s="1" t="s">
        <v>255</v>
      </c>
      <c r="E131" s="1" t="s">
        <v>28</v>
      </c>
      <c r="F131" s="8">
        <f t="array" ref="F131">VLOOKUP(E131,구장정보!$A$2:$B$10,2,FALSE) - SUM((A131=표3[경기일])*('경기 일정'!D131=표3[경기시간])*('경기 일정'!E131=표3[구장])*표3[인원합])</f>
        <v>447</v>
      </c>
    </row>
    <row r="132" spans="1:6" x14ac:dyDescent="0.3">
      <c r="A132" s="6">
        <v>43564</v>
      </c>
      <c r="B132" s="1" t="s">
        <v>261</v>
      </c>
      <c r="C132" s="1" t="s">
        <v>263</v>
      </c>
      <c r="D132" s="1" t="s">
        <v>260</v>
      </c>
      <c r="E132" s="1" t="s">
        <v>20</v>
      </c>
      <c r="F132" s="8">
        <f t="array" ref="F132">VLOOKUP(E132,구장정보!$A$2:$B$10,2,FALSE) - SUM((A132=표3[경기일])*('경기 일정'!D132=표3[경기시간])*('경기 일정'!E132=표3[구장])*표3[인원합])</f>
        <v>326</v>
      </c>
    </row>
    <row r="133" spans="1:6" x14ac:dyDescent="0.3">
      <c r="A133" s="6">
        <v>43566</v>
      </c>
      <c r="B133" s="1" t="s">
        <v>254</v>
      </c>
      <c r="C133" s="1" t="s">
        <v>265</v>
      </c>
      <c r="D133" s="1" t="s">
        <v>260</v>
      </c>
      <c r="E133" s="1" t="s">
        <v>24</v>
      </c>
      <c r="F133" s="8">
        <f t="array" ref="F133">VLOOKUP(E133,구장정보!$A$2:$B$10,2,FALSE) - SUM((A133=표3[경기일])*('경기 일정'!D133=표3[경기시간])*('경기 일정'!E133=표3[구장])*표3[인원합])</f>
        <v>544</v>
      </c>
    </row>
    <row r="134" spans="1:6" x14ac:dyDescent="0.3">
      <c r="A134" s="6">
        <v>43567</v>
      </c>
      <c r="B134" s="1" t="s">
        <v>259</v>
      </c>
      <c r="C134" s="1" t="s">
        <v>265</v>
      </c>
      <c r="D134" s="1" t="s">
        <v>257</v>
      </c>
      <c r="E134" s="1" t="s">
        <v>26</v>
      </c>
      <c r="F134" s="8">
        <f t="array" ref="F134">VLOOKUP(E134,구장정보!$A$2:$B$10,2,FALSE) - SUM((A134=표3[경기일])*('경기 일정'!D134=표3[경기시간])*('경기 일정'!E134=표3[구장])*표3[인원합])</f>
        <v>254</v>
      </c>
    </row>
    <row r="135" spans="1:6" x14ac:dyDescent="0.3">
      <c r="A135" s="6">
        <v>43568</v>
      </c>
      <c r="B135" s="1" t="s">
        <v>261</v>
      </c>
      <c r="C135" s="1" t="s">
        <v>264</v>
      </c>
      <c r="D135" s="1" t="s">
        <v>257</v>
      </c>
      <c r="E135" s="1" t="s">
        <v>20</v>
      </c>
      <c r="F135" s="8">
        <f t="array" ref="F135">VLOOKUP(E135,구장정보!$A$2:$B$10,2,FALSE) - SUM((A135=표3[경기일])*('경기 일정'!D135=표3[경기시간])*('경기 일정'!E135=표3[구장])*표3[인원합])</f>
        <v>326</v>
      </c>
    </row>
    <row r="136" spans="1:6" x14ac:dyDescent="0.3">
      <c r="A136" s="6">
        <v>43568</v>
      </c>
      <c r="B136" s="1" t="s">
        <v>262</v>
      </c>
      <c r="C136" s="1" t="s">
        <v>259</v>
      </c>
      <c r="D136" s="1" t="s">
        <v>255</v>
      </c>
      <c r="E136" s="1" t="s">
        <v>30</v>
      </c>
      <c r="F136" s="8">
        <f t="array" ref="F136">VLOOKUP(E136,구장정보!$A$2:$B$10,2,FALSE) - SUM((A136=표3[경기일])*('경기 일정'!D136=표3[경기시간])*('경기 일정'!E136=표3[구장])*표3[인원합])</f>
        <v>135</v>
      </c>
    </row>
    <row r="137" spans="1:6" x14ac:dyDescent="0.3">
      <c r="A137" s="6">
        <v>43569</v>
      </c>
      <c r="B137" s="1" t="s">
        <v>258</v>
      </c>
      <c r="C137" s="1" t="s">
        <v>263</v>
      </c>
      <c r="D137" s="1" t="s">
        <v>260</v>
      </c>
      <c r="E137" s="1" t="s">
        <v>18</v>
      </c>
      <c r="F137" s="8">
        <f t="array" ref="F137">VLOOKUP(E137,구장정보!$A$2:$B$10,2,FALSE) - SUM((A137=표3[경기일])*('경기 일정'!D137=표3[경기시간])*('경기 일정'!E137=표3[구장])*표3[인원합])</f>
        <v>435</v>
      </c>
    </row>
    <row r="138" spans="1:6" x14ac:dyDescent="0.3">
      <c r="A138" s="6">
        <v>43570</v>
      </c>
      <c r="B138" s="1" t="s">
        <v>258</v>
      </c>
      <c r="C138" s="1" t="s">
        <v>253</v>
      </c>
      <c r="D138" s="1" t="s">
        <v>257</v>
      </c>
      <c r="E138" s="1" t="s">
        <v>18</v>
      </c>
      <c r="F138" s="8">
        <f t="array" ref="F138">VLOOKUP(E138,구장정보!$A$2:$B$10,2,FALSE) - SUM((A138=표3[경기일])*('경기 일정'!D138=표3[경기시간])*('경기 일정'!E138=표3[구장])*표3[인원합])</f>
        <v>435</v>
      </c>
    </row>
    <row r="139" spans="1:6" x14ac:dyDescent="0.3">
      <c r="A139" s="6">
        <v>43570</v>
      </c>
      <c r="B139" s="1" t="s">
        <v>265</v>
      </c>
      <c r="C139" s="1" t="s">
        <v>263</v>
      </c>
      <c r="D139" s="1" t="s">
        <v>260</v>
      </c>
      <c r="E139" s="1" t="s">
        <v>16</v>
      </c>
      <c r="F139" s="8">
        <f t="array" ref="F139">VLOOKUP(E139,구장정보!$A$2:$B$10,2,FALSE) - SUM((A139=표3[경기일])*('경기 일정'!D139=표3[경기시간])*('경기 일정'!E139=표3[구장])*표3[인원합])</f>
        <v>342</v>
      </c>
    </row>
    <row r="140" spans="1:6" x14ac:dyDescent="0.3">
      <c r="A140" s="6">
        <v>43570</v>
      </c>
      <c r="B140" s="1" t="s">
        <v>264</v>
      </c>
      <c r="C140" s="1" t="s">
        <v>262</v>
      </c>
      <c r="D140" s="1" t="s">
        <v>257</v>
      </c>
      <c r="E140" s="1" t="s">
        <v>28</v>
      </c>
      <c r="F140" s="8">
        <f t="array" ref="F140">VLOOKUP(E140,구장정보!$A$2:$B$10,2,FALSE) - SUM((A140=표3[경기일])*('경기 일정'!D140=표3[경기시간])*('경기 일정'!E140=표3[구장])*표3[인원합])</f>
        <v>447</v>
      </c>
    </row>
    <row r="141" spans="1:6" x14ac:dyDescent="0.3">
      <c r="A141" s="6">
        <v>43572</v>
      </c>
      <c r="B141" s="1" t="s">
        <v>265</v>
      </c>
      <c r="C141" s="1" t="s">
        <v>261</v>
      </c>
      <c r="D141" s="1" t="s">
        <v>255</v>
      </c>
      <c r="E141" s="1" t="s">
        <v>16</v>
      </c>
      <c r="F141" s="8">
        <f t="array" ref="F141">VLOOKUP(E141,구장정보!$A$2:$B$10,2,FALSE) - SUM((A141=표3[경기일])*('경기 일정'!D141=표3[경기시간])*('경기 일정'!E141=표3[구장])*표3[인원합])</f>
        <v>342</v>
      </c>
    </row>
    <row r="142" spans="1:6" x14ac:dyDescent="0.3">
      <c r="A142" s="6">
        <v>43572</v>
      </c>
      <c r="B142" s="1" t="s">
        <v>259</v>
      </c>
      <c r="C142" s="1" t="s">
        <v>254</v>
      </c>
      <c r="D142" s="1" t="s">
        <v>260</v>
      </c>
      <c r="E142" s="1" t="s">
        <v>26</v>
      </c>
      <c r="F142" s="8">
        <f t="array" ref="F142">VLOOKUP(E142,구장정보!$A$2:$B$10,2,FALSE) - SUM((A142=표3[경기일])*('경기 일정'!D142=표3[경기시간])*('경기 일정'!E142=표3[구장])*표3[인원합])</f>
        <v>254</v>
      </c>
    </row>
    <row r="143" spans="1:6" x14ac:dyDescent="0.3">
      <c r="A143" s="6">
        <v>43573</v>
      </c>
      <c r="B143" s="1" t="s">
        <v>262</v>
      </c>
      <c r="C143" s="1" t="s">
        <v>253</v>
      </c>
      <c r="D143" s="1" t="s">
        <v>257</v>
      </c>
      <c r="E143" s="1" t="s">
        <v>30</v>
      </c>
      <c r="F143" s="8">
        <f t="array" ref="F143">VLOOKUP(E143,구장정보!$A$2:$B$10,2,FALSE) - SUM((A143=표3[경기일])*('경기 일정'!D143=표3[경기시간])*('경기 일정'!E143=표3[구장])*표3[인원합])</f>
        <v>135</v>
      </c>
    </row>
    <row r="144" spans="1:6" x14ac:dyDescent="0.3">
      <c r="A144" s="6">
        <v>43574</v>
      </c>
      <c r="B144" s="1" t="s">
        <v>263</v>
      </c>
      <c r="C144" s="1" t="s">
        <v>256</v>
      </c>
      <c r="D144" s="1" t="s">
        <v>255</v>
      </c>
      <c r="E144" s="1" t="s">
        <v>22</v>
      </c>
      <c r="F144" s="8">
        <f t="array" ref="F144">VLOOKUP(E144,구장정보!$A$2:$B$10,2,FALSE) - SUM((A144=표3[경기일])*('경기 일정'!D144=표3[경기시간])*('경기 일정'!E144=표3[구장])*표3[인원합])</f>
        <v>371</v>
      </c>
    </row>
    <row r="145" spans="1:6" x14ac:dyDescent="0.3">
      <c r="A145" s="6">
        <v>43574</v>
      </c>
      <c r="B145" s="1" t="s">
        <v>259</v>
      </c>
      <c r="C145" s="1" t="s">
        <v>254</v>
      </c>
      <c r="D145" s="1" t="s">
        <v>257</v>
      </c>
      <c r="E145" s="1" t="s">
        <v>26</v>
      </c>
      <c r="F145" s="8">
        <f t="array" ref="F145">VLOOKUP(E145,구장정보!$A$2:$B$10,2,FALSE) - SUM((A145=표3[경기일])*('경기 일정'!D145=표3[경기시간])*('경기 일정'!E145=표3[구장])*표3[인원합])</f>
        <v>254</v>
      </c>
    </row>
    <row r="146" spans="1:6" x14ac:dyDescent="0.3">
      <c r="A146" s="6">
        <v>43574</v>
      </c>
      <c r="B146" s="1" t="s">
        <v>262</v>
      </c>
      <c r="C146" s="1" t="s">
        <v>264</v>
      </c>
      <c r="D146" s="1" t="s">
        <v>257</v>
      </c>
      <c r="E146" s="1" t="s">
        <v>30</v>
      </c>
      <c r="F146" s="8">
        <f t="array" ref="F146">VLOOKUP(E146,구장정보!$A$2:$B$10,2,FALSE) - SUM((A146=표3[경기일])*('경기 일정'!D146=표3[경기시간])*('경기 일정'!E146=표3[구장])*표3[인원합])</f>
        <v>135</v>
      </c>
    </row>
    <row r="147" spans="1:6" x14ac:dyDescent="0.3">
      <c r="A147" s="6">
        <v>43576</v>
      </c>
      <c r="B147" s="1" t="s">
        <v>259</v>
      </c>
      <c r="C147" s="1" t="s">
        <v>261</v>
      </c>
      <c r="D147" s="1" t="s">
        <v>255</v>
      </c>
      <c r="E147" s="1" t="s">
        <v>26</v>
      </c>
      <c r="F147" s="8">
        <f t="array" ref="F147">VLOOKUP(E147,구장정보!$A$2:$B$10,2,FALSE) - SUM((A147=표3[경기일])*('경기 일정'!D147=표3[경기시간])*('경기 일정'!E147=표3[구장])*표3[인원합])</f>
        <v>254</v>
      </c>
    </row>
    <row r="148" spans="1:6" x14ac:dyDescent="0.3">
      <c r="A148" s="6">
        <v>43576</v>
      </c>
      <c r="B148" s="1" t="s">
        <v>254</v>
      </c>
      <c r="C148" s="1" t="s">
        <v>263</v>
      </c>
      <c r="D148" s="1" t="s">
        <v>260</v>
      </c>
      <c r="E148" s="1" t="s">
        <v>24</v>
      </c>
      <c r="F148" s="8">
        <f t="array" ref="F148">VLOOKUP(E148,구장정보!$A$2:$B$10,2,FALSE) - SUM((A148=표3[경기일])*('경기 일정'!D148=표3[경기시간])*('경기 일정'!E148=표3[구장])*표3[인원합])</f>
        <v>544</v>
      </c>
    </row>
    <row r="149" spans="1:6" x14ac:dyDescent="0.3">
      <c r="A149" s="6">
        <v>43577</v>
      </c>
      <c r="B149" s="1" t="s">
        <v>262</v>
      </c>
      <c r="C149" s="1" t="s">
        <v>265</v>
      </c>
      <c r="D149" s="1" t="s">
        <v>257</v>
      </c>
      <c r="E149" s="1" t="s">
        <v>30</v>
      </c>
      <c r="F149" s="8">
        <f t="array" ref="F149">VLOOKUP(E149,구장정보!$A$2:$B$10,2,FALSE) - SUM((A149=표3[경기일])*('경기 일정'!D149=표3[경기시간])*('경기 일정'!E149=표3[구장])*표3[인원합])</f>
        <v>135</v>
      </c>
    </row>
    <row r="150" spans="1:6" x14ac:dyDescent="0.3">
      <c r="A150" s="6">
        <v>43578</v>
      </c>
      <c r="B150" s="1" t="s">
        <v>262</v>
      </c>
      <c r="C150" s="1" t="s">
        <v>254</v>
      </c>
      <c r="D150" s="1" t="s">
        <v>257</v>
      </c>
      <c r="E150" s="1" t="s">
        <v>30</v>
      </c>
      <c r="F150" s="8">
        <f t="array" ref="F150">VLOOKUP(E150,구장정보!$A$2:$B$10,2,FALSE) - SUM((A150=표3[경기일])*('경기 일정'!D150=표3[경기시간])*('경기 일정'!E150=표3[구장])*표3[인원합])</f>
        <v>135</v>
      </c>
    </row>
    <row r="151" spans="1:6" x14ac:dyDescent="0.3">
      <c r="A151" s="6">
        <v>43580</v>
      </c>
      <c r="B151" s="1" t="s">
        <v>258</v>
      </c>
      <c r="C151" s="1" t="s">
        <v>264</v>
      </c>
      <c r="D151" s="1" t="s">
        <v>260</v>
      </c>
      <c r="E151" s="1" t="s">
        <v>18</v>
      </c>
      <c r="F151" s="8">
        <f t="array" ref="F151">VLOOKUP(E151,구장정보!$A$2:$B$10,2,FALSE) - SUM((A151=표3[경기일])*('경기 일정'!D151=표3[경기시간])*('경기 일정'!E151=표3[구장])*표3[인원합])</f>
        <v>435</v>
      </c>
    </row>
    <row r="152" spans="1:6" x14ac:dyDescent="0.3">
      <c r="A152" s="6">
        <v>43580</v>
      </c>
      <c r="B152" s="1" t="s">
        <v>253</v>
      </c>
      <c r="C152" s="1" t="s">
        <v>254</v>
      </c>
      <c r="D152" s="1" t="s">
        <v>260</v>
      </c>
      <c r="E152" s="1" t="s">
        <v>14</v>
      </c>
      <c r="F152" s="8">
        <f t="array" ref="F152">VLOOKUP(E152,구장정보!$A$2:$B$10,2,FALSE) - SUM((A152=표3[경기일])*('경기 일정'!D152=표3[경기시간])*('경기 일정'!E152=표3[구장])*표3[인원합])</f>
        <v>506</v>
      </c>
    </row>
    <row r="153" spans="1:6" x14ac:dyDescent="0.3">
      <c r="A153" s="6">
        <v>43580</v>
      </c>
      <c r="B153" s="1" t="s">
        <v>261</v>
      </c>
      <c r="C153" s="1" t="s">
        <v>256</v>
      </c>
      <c r="D153" s="1" t="s">
        <v>255</v>
      </c>
      <c r="E153" s="1" t="s">
        <v>20</v>
      </c>
      <c r="F153" s="8">
        <f t="array" ref="F153">VLOOKUP(E153,구장정보!$A$2:$B$10,2,FALSE) - SUM((A153=표3[경기일])*('경기 일정'!D153=표3[경기시간])*('경기 일정'!E153=표3[구장])*표3[인원합])</f>
        <v>326</v>
      </c>
    </row>
    <row r="154" spans="1:6" x14ac:dyDescent="0.3">
      <c r="A154" s="6">
        <v>43581</v>
      </c>
      <c r="B154" s="1" t="s">
        <v>259</v>
      </c>
      <c r="C154" s="1" t="s">
        <v>258</v>
      </c>
      <c r="D154" s="1" t="s">
        <v>257</v>
      </c>
      <c r="E154" s="1" t="s">
        <v>26</v>
      </c>
      <c r="F154" s="8">
        <f t="array" ref="F154">VLOOKUP(E154,구장정보!$A$2:$B$10,2,FALSE) - SUM((A154=표3[경기일])*('경기 일정'!D154=표3[경기시간])*('경기 일정'!E154=표3[구장])*표3[인원합])</f>
        <v>254</v>
      </c>
    </row>
    <row r="155" spans="1:6" x14ac:dyDescent="0.3">
      <c r="A155" s="6">
        <v>43582</v>
      </c>
      <c r="B155" s="1" t="s">
        <v>264</v>
      </c>
      <c r="C155" s="1" t="s">
        <v>261</v>
      </c>
      <c r="D155" s="1" t="s">
        <v>260</v>
      </c>
      <c r="E155" s="1" t="s">
        <v>28</v>
      </c>
      <c r="F155" s="8">
        <f t="array" ref="F155">VLOOKUP(E155,구장정보!$A$2:$B$10,2,FALSE) - SUM((A155=표3[경기일])*('경기 일정'!D155=표3[경기시간])*('경기 일정'!E155=표3[구장])*표3[인원합])</f>
        <v>447</v>
      </c>
    </row>
    <row r="156" spans="1:6" x14ac:dyDescent="0.3">
      <c r="A156" s="6">
        <v>43582</v>
      </c>
      <c r="B156" s="1" t="s">
        <v>263</v>
      </c>
      <c r="C156" s="1" t="s">
        <v>256</v>
      </c>
      <c r="D156" s="1" t="s">
        <v>255</v>
      </c>
      <c r="E156" s="1" t="s">
        <v>22</v>
      </c>
      <c r="F156" s="8">
        <f t="array" ref="F156">VLOOKUP(E156,구장정보!$A$2:$B$10,2,FALSE) - SUM((A156=표3[경기일])*('경기 일정'!D156=표3[경기시간])*('경기 일정'!E156=표3[구장])*표3[인원합])</f>
        <v>371</v>
      </c>
    </row>
    <row r="157" spans="1:6" x14ac:dyDescent="0.3">
      <c r="A157" s="6">
        <v>43582</v>
      </c>
      <c r="B157" s="1" t="s">
        <v>254</v>
      </c>
      <c r="C157" s="1" t="s">
        <v>258</v>
      </c>
      <c r="D157" s="1" t="s">
        <v>257</v>
      </c>
      <c r="E157" s="1" t="s">
        <v>24</v>
      </c>
      <c r="F157" s="8">
        <f t="array" ref="F157">VLOOKUP(E157,구장정보!$A$2:$B$10,2,FALSE) - SUM((A157=표3[경기일])*('경기 일정'!D157=표3[경기시간])*('경기 일정'!E157=표3[구장])*표3[인원합])</f>
        <v>544</v>
      </c>
    </row>
    <row r="158" spans="1:6" x14ac:dyDescent="0.3">
      <c r="A158" s="6">
        <v>43583</v>
      </c>
      <c r="B158" s="1" t="s">
        <v>253</v>
      </c>
      <c r="C158" s="1" t="s">
        <v>262</v>
      </c>
      <c r="D158" s="1" t="s">
        <v>257</v>
      </c>
      <c r="E158" s="1" t="s">
        <v>14</v>
      </c>
      <c r="F158" s="8">
        <f t="array" ref="F158">VLOOKUP(E158,구장정보!$A$2:$B$10,2,FALSE) - SUM((A158=표3[경기일])*('경기 일정'!D158=표3[경기시간])*('경기 일정'!E158=표3[구장])*표3[인원합])</f>
        <v>506</v>
      </c>
    </row>
    <row r="159" spans="1:6" x14ac:dyDescent="0.3">
      <c r="A159" s="6">
        <v>43584</v>
      </c>
      <c r="B159" s="1" t="s">
        <v>263</v>
      </c>
      <c r="C159" s="1" t="s">
        <v>253</v>
      </c>
      <c r="D159" s="1" t="s">
        <v>257</v>
      </c>
      <c r="E159" s="1" t="s">
        <v>22</v>
      </c>
      <c r="F159" s="8">
        <f t="array" ref="F159">VLOOKUP(E159,구장정보!$A$2:$B$10,2,FALSE) - SUM((A159=표3[경기일])*('경기 일정'!D159=표3[경기시간])*('경기 일정'!E159=표3[구장])*표3[인원합])</f>
        <v>371</v>
      </c>
    </row>
    <row r="160" spans="1:6" x14ac:dyDescent="0.3">
      <c r="A160" s="6">
        <v>43585</v>
      </c>
      <c r="B160" s="1" t="s">
        <v>259</v>
      </c>
      <c r="C160" s="1" t="s">
        <v>261</v>
      </c>
      <c r="D160" s="1" t="s">
        <v>257</v>
      </c>
      <c r="E160" s="1" t="s">
        <v>26</v>
      </c>
      <c r="F160" s="8">
        <f t="array" ref="F160">VLOOKUP(E160,구장정보!$A$2:$B$10,2,FALSE) - SUM((A160=표3[경기일])*('경기 일정'!D160=표3[경기시간])*('경기 일정'!E160=표3[구장])*표3[인원합])</f>
        <v>254</v>
      </c>
    </row>
    <row r="161" spans="1:6" x14ac:dyDescent="0.3">
      <c r="A161" s="6">
        <v>43587</v>
      </c>
      <c r="B161" s="1" t="s">
        <v>256</v>
      </c>
      <c r="C161" s="1" t="s">
        <v>265</v>
      </c>
      <c r="D161" s="1" t="s">
        <v>255</v>
      </c>
      <c r="E161" s="1" t="s">
        <v>26</v>
      </c>
      <c r="F161" s="8">
        <f t="array" ref="F161">VLOOKUP(E161,구장정보!$A$2:$B$10,2,FALSE) - SUM((A161=표3[경기일])*('경기 일정'!D161=표3[경기시간])*('경기 일정'!E161=표3[구장])*표3[인원합])</f>
        <v>254</v>
      </c>
    </row>
    <row r="162" spans="1:6" x14ac:dyDescent="0.3">
      <c r="A162" s="6">
        <v>43587</v>
      </c>
      <c r="B162" s="1" t="s">
        <v>254</v>
      </c>
      <c r="C162" s="1" t="s">
        <v>258</v>
      </c>
      <c r="D162" s="1" t="s">
        <v>260</v>
      </c>
      <c r="E162" s="1" t="s">
        <v>24</v>
      </c>
      <c r="F162" s="8">
        <f t="array" ref="F162">VLOOKUP(E162,구장정보!$A$2:$B$10,2,FALSE) - SUM((A162=표3[경기일])*('경기 일정'!D162=표3[경기시간])*('경기 일정'!E162=표3[구장])*표3[인원합])</f>
        <v>544</v>
      </c>
    </row>
    <row r="163" spans="1:6" x14ac:dyDescent="0.3">
      <c r="A163" s="6">
        <v>43588</v>
      </c>
      <c r="B163" s="1" t="s">
        <v>253</v>
      </c>
      <c r="C163" s="1" t="s">
        <v>264</v>
      </c>
      <c r="D163" s="1" t="s">
        <v>260</v>
      </c>
      <c r="E163" s="1" t="s">
        <v>14</v>
      </c>
      <c r="F163" s="8">
        <f t="array" ref="F163">VLOOKUP(E163,구장정보!$A$2:$B$10,2,FALSE) - SUM((A163=표3[경기일])*('경기 일정'!D163=표3[경기시간])*('경기 일정'!E163=표3[구장])*표3[인원합])</f>
        <v>506</v>
      </c>
    </row>
    <row r="164" spans="1:6" x14ac:dyDescent="0.3">
      <c r="A164" s="6">
        <v>43588</v>
      </c>
      <c r="B164" s="1" t="s">
        <v>262</v>
      </c>
      <c r="C164" s="1" t="s">
        <v>261</v>
      </c>
      <c r="D164" s="1" t="s">
        <v>255</v>
      </c>
      <c r="E164" s="1" t="s">
        <v>30</v>
      </c>
      <c r="F164" s="8">
        <f t="array" ref="F164">VLOOKUP(E164,구장정보!$A$2:$B$10,2,FALSE) - SUM((A164=표3[경기일])*('경기 일정'!D164=표3[경기시간])*('경기 일정'!E164=표3[구장])*표3[인원합])</f>
        <v>135</v>
      </c>
    </row>
    <row r="165" spans="1:6" x14ac:dyDescent="0.3">
      <c r="A165" s="6">
        <v>43589</v>
      </c>
      <c r="B165" s="1" t="s">
        <v>262</v>
      </c>
      <c r="C165" s="1" t="s">
        <v>258</v>
      </c>
      <c r="D165" s="1" t="s">
        <v>260</v>
      </c>
      <c r="E165" s="1" t="s">
        <v>30</v>
      </c>
      <c r="F165" s="8">
        <f t="array" ref="F165">VLOOKUP(E165,구장정보!$A$2:$B$10,2,FALSE) - SUM((A165=표3[경기일])*('경기 일정'!D165=표3[경기시간])*('경기 일정'!E165=표3[구장])*표3[인원합])</f>
        <v>135</v>
      </c>
    </row>
    <row r="166" spans="1:6" x14ac:dyDescent="0.3">
      <c r="A166" s="6">
        <v>43590</v>
      </c>
      <c r="B166" s="1" t="s">
        <v>261</v>
      </c>
      <c r="C166" s="1" t="s">
        <v>263</v>
      </c>
      <c r="D166" s="1" t="s">
        <v>257</v>
      </c>
      <c r="E166" s="1" t="s">
        <v>20</v>
      </c>
      <c r="F166" s="8">
        <f t="array" ref="F166">VLOOKUP(E166,구장정보!$A$2:$B$10,2,FALSE) - SUM((A166=표3[경기일])*('경기 일정'!D166=표3[경기시간])*('경기 일정'!E166=표3[구장])*표3[인원합])</f>
        <v>326</v>
      </c>
    </row>
    <row r="167" spans="1:6" x14ac:dyDescent="0.3">
      <c r="A167" s="6"/>
    </row>
  </sheetData>
  <phoneticPr fontId="3" type="noConversion"/>
  <conditionalFormatting sqref="A1:E1048576">
    <cfRule type="expression" dxfId="41" priority="1">
      <formula>A1&lt;&gt;""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41"/>
  <sheetViews>
    <sheetView showGridLines="0" workbookViewId="0"/>
  </sheetViews>
  <sheetFormatPr defaultRowHeight="16.5" x14ac:dyDescent="0.3"/>
  <cols>
    <col min="1" max="1" width="11.125" style="1" bestFit="1" customWidth="1"/>
    <col min="2" max="2" width="13.75" style="1" bestFit="1" customWidth="1"/>
    <col min="3" max="3" width="9" style="1"/>
    <col min="4" max="4" width="13.75" style="1" bestFit="1" customWidth="1"/>
    <col min="5" max="6" width="9" style="1"/>
  </cols>
  <sheetData>
    <row r="1" spans="1:6" x14ac:dyDescent="0.3">
      <c r="A1" s="3" t="s">
        <v>248</v>
      </c>
      <c r="B1" s="4" t="s">
        <v>249</v>
      </c>
      <c r="C1" s="4" t="s">
        <v>266</v>
      </c>
      <c r="D1" s="4" t="s">
        <v>250</v>
      </c>
      <c r="E1" s="4" t="s">
        <v>268</v>
      </c>
      <c r="F1" s="4" t="s">
        <v>267</v>
      </c>
    </row>
    <row r="2" spans="1:6" x14ac:dyDescent="0.3">
      <c r="A2" s="6">
        <v>43466</v>
      </c>
      <c r="B2" s="1" t="s">
        <v>253</v>
      </c>
      <c r="C2" s="1">
        <v>9</v>
      </c>
      <c r="D2" s="1" t="s">
        <v>254</v>
      </c>
      <c r="E2" s="1">
        <v>5</v>
      </c>
      <c r="F2" s="1" t="str">
        <f>IF(C2&gt;E2,"승",IF(C2&lt;E2,"패","무승부"))</f>
        <v>승</v>
      </c>
    </row>
    <row r="3" spans="1:6" x14ac:dyDescent="0.3">
      <c r="A3" s="6">
        <v>43470</v>
      </c>
      <c r="B3" s="1" t="s">
        <v>256</v>
      </c>
      <c r="C3" s="1">
        <v>1</v>
      </c>
      <c r="D3" s="1" t="s">
        <v>253</v>
      </c>
      <c r="E3" s="1">
        <v>3</v>
      </c>
      <c r="F3" s="1" t="str">
        <f t="shared" ref="F3:F66" si="0">IF(C3&gt;E3,"승",IF(C3&lt;E3,"패","무승부"))</f>
        <v>패</v>
      </c>
    </row>
    <row r="4" spans="1:6" x14ac:dyDescent="0.3">
      <c r="A4" s="6">
        <v>43475</v>
      </c>
      <c r="B4" s="1" t="s">
        <v>258</v>
      </c>
      <c r="C4" s="1">
        <v>1</v>
      </c>
      <c r="D4" s="1" t="s">
        <v>259</v>
      </c>
      <c r="E4" s="1">
        <v>4</v>
      </c>
      <c r="F4" s="1" t="str">
        <f t="shared" si="0"/>
        <v>패</v>
      </c>
    </row>
    <row r="5" spans="1:6" x14ac:dyDescent="0.3">
      <c r="A5" s="6">
        <v>43477</v>
      </c>
      <c r="B5" s="1" t="s">
        <v>261</v>
      </c>
      <c r="C5" s="1">
        <v>2</v>
      </c>
      <c r="D5" s="1" t="s">
        <v>262</v>
      </c>
      <c r="E5" s="1">
        <v>1</v>
      </c>
      <c r="F5" s="1" t="str">
        <f t="shared" si="0"/>
        <v>승</v>
      </c>
    </row>
    <row r="6" spans="1:6" x14ac:dyDescent="0.3">
      <c r="A6" s="6">
        <v>43487</v>
      </c>
      <c r="B6" s="1" t="s">
        <v>263</v>
      </c>
      <c r="C6" s="1">
        <v>0</v>
      </c>
      <c r="D6" s="1" t="s">
        <v>264</v>
      </c>
      <c r="E6" s="1">
        <v>0</v>
      </c>
      <c r="F6" s="1" t="str">
        <f t="shared" si="0"/>
        <v>무승부</v>
      </c>
    </row>
    <row r="7" spans="1:6" x14ac:dyDescent="0.3">
      <c r="A7" s="6">
        <v>43497</v>
      </c>
      <c r="B7" s="1" t="s">
        <v>256</v>
      </c>
      <c r="C7" s="1">
        <v>9</v>
      </c>
      <c r="D7" s="1" t="s">
        <v>263</v>
      </c>
      <c r="E7" s="1">
        <v>4</v>
      </c>
      <c r="F7" s="1" t="str">
        <f t="shared" si="0"/>
        <v>승</v>
      </c>
    </row>
    <row r="8" spans="1:6" x14ac:dyDescent="0.3">
      <c r="A8" s="6">
        <v>43497</v>
      </c>
      <c r="B8" s="1" t="s">
        <v>261</v>
      </c>
      <c r="C8" s="1">
        <v>6</v>
      </c>
      <c r="D8" s="1" t="s">
        <v>259</v>
      </c>
      <c r="E8" s="1">
        <v>5</v>
      </c>
      <c r="F8" s="1" t="str">
        <f t="shared" si="0"/>
        <v>승</v>
      </c>
    </row>
    <row r="9" spans="1:6" x14ac:dyDescent="0.3">
      <c r="A9" s="6">
        <v>43497</v>
      </c>
      <c r="B9" s="1" t="s">
        <v>262</v>
      </c>
      <c r="C9" s="1">
        <v>0</v>
      </c>
      <c r="D9" s="1" t="s">
        <v>253</v>
      </c>
      <c r="E9" s="1">
        <v>0</v>
      </c>
      <c r="F9" s="1" t="str">
        <f t="shared" si="0"/>
        <v>무승부</v>
      </c>
    </row>
    <row r="10" spans="1:6" x14ac:dyDescent="0.3">
      <c r="A10" s="6">
        <v>43498</v>
      </c>
      <c r="B10" s="1" t="s">
        <v>264</v>
      </c>
      <c r="C10" s="1">
        <v>6</v>
      </c>
      <c r="D10" s="1" t="s">
        <v>253</v>
      </c>
      <c r="E10" s="1">
        <v>2</v>
      </c>
      <c r="F10" s="1" t="str">
        <f t="shared" si="0"/>
        <v>승</v>
      </c>
    </row>
    <row r="11" spans="1:6" x14ac:dyDescent="0.3">
      <c r="A11" s="6">
        <v>43500</v>
      </c>
      <c r="B11" s="1" t="s">
        <v>259</v>
      </c>
      <c r="C11" s="1">
        <v>2</v>
      </c>
      <c r="D11" s="1" t="s">
        <v>263</v>
      </c>
      <c r="E11" s="1">
        <v>5</v>
      </c>
      <c r="F11" s="1" t="str">
        <f t="shared" si="0"/>
        <v>패</v>
      </c>
    </row>
    <row r="12" spans="1:6" x14ac:dyDescent="0.3">
      <c r="A12" s="6">
        <v>43501</v>
      </c>
      <c r="B12" s="1" t="s">
        <v>264</v>
      </c>
      <c r="C12" s="1">
        <v>2</v>
      </c>
      <c r="D12" s="1" t="s">
        <v>261</v>
      </c>
      <c r="E12" s="1">
        <v>0</v>
      </c>
      <c r="F12" s="1" t="str">
        <f t="shared" si="0"/>
        <v>승</v>
      </c>
    </row>
    <row r="13" spans="1:6" x14ac:dyDescent="0.3">
      <c r="A13" s="6">
        <v>43502</v>
      </c>
      <c r="B13" s="1" t="s">
        <v>265</v>
      </c>
      <c r="C13" s="1">
        <v>6</v>
      </c>
      <c r="D13" s="1" t="s">
        <v>253</v>
      </c>
      <c r="E13" s="1">
        <v>3</v>
      </c>
      <c r="F13" s="1" t="str">
        <f t="shared" si="0"/>
        <v>승</v>
      </c>
    </row>
    <row r="14" spans="1:6" x14ac:dyDescent="0.3">
      <c r="A14" s="6">
        <v>43503</v>
      </c>
      <c r="B14" s="1" t="s">
        <v>256</v>
      </c>
      <c r="C14" s="1">
        <v>5</v>
      </c>
      <c r="D14" s="1" t="s">
        <v>253</v>
      </c>
      <c r="E14" s="1">
        <v>0</v>
      </c>
      <c r="F14" s="1" t="str">
        <f t="shared" si="0"/>
        <v>승</v>
      </c>
    </row>
    <row r="15" spans="1:6" x14ac:dyDescent="0.3">
      <c r="A15" s="6">
        <v>43503</v>
      </c>
      <c r="B15" s="1" t="s">
        <v>263</v>
      </c>
      <c r="C15" s="1">
        <v>2</v>
      </c>
      <c r="D15" s="1" t="s">
        <v>258</v>
      </c>
      <c r="E15" s="1">
        <v>7</v>
      </c>
      <c r="F15" s="1" t="str">
        <f t="shared" si="0"/>
        <v>패</v>
      </c>
    </row>
    <row r="16" spans="1:6" x14ac:dyDescent="0.3">
      <c r="A16" s="6">
        <v>43503</v>
      </c>
      <c r="B16" s="1" t="s">
        <v>254</v>
      </c>
      <c r="C16" s="1">
        <v>4</v>
      </c>
      <c r="D16" s="1" t="s">
        <v>259</v>
      </c>
      <c r="E16" s="1">
        <v>7</v>
      </c>
      <c r="F16" s="1" t="str">
        <f t="shared" si="0"/>
        <v>패</v>
      </c>
    </row>
    <row r="17" spans="1:6" x14ac:dyDescent="0.3">
      <c r="A17" s="6">
        <v>43504</v>
      </c>
      <c r="B17" s="1" t="s">
        <v>265</v>
      </c>
      <c r="C17" s="1">
        <v>3</v>
      </c>
      <c r="D17" s="1" t="s">
        <v>253</v>
      </c>
      <c r="E17" s="1">
        <v>2</v>
      </c>
      <c r="F17" s="1" t="str">
        <f t="shared" si="0"/>
        <v>승</v>
      </c>
    </row>
    <row r="18" spans="1:6" x14ac:dyDescent="0.3">
      <c r="A18" s="6">
        <v>43504</v>
      </c>
      <c r="B18" s="1" t="s">
        <v>261</v>
      </c>
      <c r="C18" s="1">
        <v>9</v>
      </c>
      <c r="D18" s="1" t="s">
        <v>259</v>
      </c>
      <c r="E18" s="1">
        <v>4</v>
      </c>
      <c r="F18" s="1" t="str">
        <f t="shared" si="0"/>
        <v>승</v>
      </c>
    </row>
    <row r="19" spans="1:6" x14ac:dyDescent="0.3">
      <c r="A19" s="6">
        <v>43505</v>
      </c>
      <c r="B19" s="1" t="s">
        <v>261</v>
      </c>
      <c r="C19" s="1">
        <v>2</v>
      </c>
      <c r="D19" s="1" t="s">
        <v>253</v>
      </c>
      <c r="E19" s="1">
        <v>1</v>
      </c>
      <c r="F19" s="1" t="str">
        <f t="shared" si="0"/>
        <v>승</v>
      </c>
    </row>
    <row r="20" spans="1:6" x14ac:dyDescent="0.3">
      <c r="A20" s="6">
        <v>43505</v>
      </c>
      <c r="B20" s="1" t="s">
        <v>259</v>
      </c>
      <c r="C20" s="1">
        <v>8</v>
      </c>
      <c r="D20" s="1" t="s">
        <v>263</v>
      </c>
      <c r="E20" s="1">
        <v>4</v>
      </c>
      <c r="F20" s="1" t="str">
        <f t="shared" si="0"/>
        <v>승</v>
      </c>
    </row>
    <row r="21" spans="1:6" x14ac:dyDescent="0.3">
      <c r="A21" s="6">
        <v>43506</v>
      </c>
      <c r="B21" s="1" t="s">
        <v>256</v>
      </c>
      <c r="C21" s="1">
        <v>6</v>
      </c>
      <c r="D21" s="1" t="s">
        <v>262</v>
      </c>
      <c r="E21" s="1">
        <v>10</v>
      </c>
      <c r="F21" s="1" t="str">
        <f t="shared" si="0"/>
        <v>패</v>
      </c>
    </row>
    <row r="22" spans="1:6" x14ac:dyDescent="0.3">
      <c r="A22" s="6">
        <v>43506</v>
      </c>
      <c r="B22" s="1" t="s">
        <v>263</v>
      </c>
      <c r="C22" s="1">
        <v>3</v>
      </c>
      <c r="D22" s="1" t="s">
        <v>258</v>
      </c>
      <c r="E22" s="1">
        <v>2</v>
      </c>
      <c r="F22" s="1" t="str">
        <f t="shared" si="0"/>
        <v>승</v>
      </c>
    </row>
    <row r="23" spans="1:6" x14ac:dyDescent="0.3">
      <c r="A23" s="6">
        <v>43507</v>
      </c>
      <c r="B23" s="1" t="s">
        <v>258</v>
      </c>
      <c r="C23" s="1">
        <v>7</v>
      </c>
      <c r="D23" s="1" t="s">
        <v>254</v>
      </c>
      <c r="E23" s="1">
        <v>2</v>
      </c>
      <c r="F23" s="1" t="str">
        <f t="shared" si="0"/>
        <v>승</v>
      </c>
    </row>
    <row r="24" spans="1:6" x14ac:dyDescent="0.3">
      <c r="A24" s="6">
        <v>43507</v>
      </c>
      <c r="B24" s="1" t="s">
        <v>263</v>
      </c>
      <c r="C24" s="1">
        <v>9</v>
      </c>
      <c r="D24" s="1" t="s">
        <v>264</v>
      </c>
      <c r="E24" s="1">
        <v>6</v>
      </c>
      <c r="F24" s="1" t="str">
        <f t="shared" si="0"/>
        <v>승</v>
      </c>
    </row>
    <row r="25" spans="1:6" x14ac:dyDescent="0.3">
      <c r="A25" s="6">
        <v>43508</v>
      </c>
      <c r="B25" s="1" t="s">
        <v>261</v>
      </c>
      <c r="C25" s="1">
        <v>0</v>
      </c>
      <c r="D25" s="1" t="s">
        <v>259</v>
      </c>
      <c r="E25" s="1">
        <v>3</v>
      </c>
      <c r="F25" s="1" t="str">
        <f t="shared" si="0"/>
        <v>패</v>
      </c>
    </row>
    <row r="26" spans="1:6" x14ac:dyDescent="0.3">
      <c r="A26" s="6">
        <v>43508</v>
      </c>
      <c r="B26" s="1" t="s">
        <v>263</v>
      </c>
      <c r="C26" s="1">
        <v>8</v>
      </c>
      <c r="D26" s="1" t="s">
        <v>254</v>
      </c>
      <c r="E26" s="1">
        <v>7</v>
      </c>
      <c r="F26" s="1" t="str">
        <f t="shared" si="0"/>
        <v>승</v>
      </c>
    </row>
    <row r="27" spans="1:6" x14ac:dyDescent="0.3">
      <c r="A27" s="6">
        <v>43509</v>
      </c>
      <c r="B27" s="1" t="s">
        <v>259</v>
      </c>
      <c r="C27" s="1">
        <v>8</v>
      </c>
      <c r="D27" s="1" t="s">
        <v>261</v>
      </c>
      <c r="E27" s="1">
        <v>5</v>
      </c>
      <c r="F27" s="1" t="str">
        <f t="shared" si="0"/>
        <v>승</v>
      </c>
    </row>
    <row r="28" spans="1:6" x14ac:dyDescent="0.3">
      <c r="A28" s="6">
        <v>43511</v>
      </c>
      <c r="B28" s="1" t="s">
        <v>264</v>
      </c>
      <c r="C28" s="1">
        <v>7</v>
      </c>
      <c r="D28" s="1" t="s">
        <v>258</v>
      </c>
      <c r="E28" s="1">
        <v>5</v>
      </c>
      <c r="F28" s="1" t="str">
        <f t="shared" si="0"/>
        <v>승</v>
      </c>
    </row>
    <row r="29" spans="1:6" x14ac:dyDescent="0.3">
      <c r="A29" s="6">
        <v>43511</v>
      </c>
      <c r="B29" s="1" t="s">
        <v>261</v>
      </c>
      <c r="C29" s="1">
        <v>3</v>
      </c>
      <c r="D29" s="1" t="s">
        <v>265</v>
      </c>
      <c r="E29" s="1">
        <v>0</v>
      </c>
      <c r="F29" s="1" t="str">
        <f t="shared" si="0"/>
        <v>승</v>
      </c>
    </row>
    <row r="30" spans="1:6" x14ac:dyDescent="0.3">
      <c r="A30" s="6">
        <v>43511</v>
      </c>
      <c r="B30" s="1" t="s">
        <v>259</v>
      </c>
      <c r="C30" s="1">
        <v>7</v>
      </c>
      <c r="D30" s="1" t="s">
        <v>254</v>
      </c>
      <c r="E30" s="1">
        <v>6</v>
      </c>
      <c r="F30" s="1" t="str">
        <f t="shared" si="0"/>
        <v>승</v>
      </c>
    </row>
    <row r="31" spans="1:6" x14ac:dyDescent="0.3">
      <c r="A31" s="6">
        <v>43512</v>
      </c>
      <c r="B31" s="1" t="s">
        <v>264</v>
      </c>
      <c r="C31" s="1">
        <v>6</v>
      </c>
      <c r="D31" s="1" t="s">
        <v>265</v>
      </c>
      <c r="E31" s="1">
        <v>4</v>
      </c>
      <c r="F31" s="1" t="str">
        <f t="shared" si="0"/>
        <v>승</v>
      </c>
    </row>
    <row r="32" spans="1:6" x14ac:dyDescent="0.3">
      <c r="A32" s="6">
        <v>43512</v>
      </c>
      <c r="B32" s="1" t="s">
        <v>259</v>
      </c>
      <c r="C32" s="1">
        <v>1</v>
      </c>
      <c r="D32" s="1" t="s">
        <v>256</v>
      </c>
      <c r="E32" s="1">
        <v>3</v>
      </c>
      <c r="F32" s="1" t="str">
        <f t="shared" si="0"/>
        <v>패</v>
      </c>
    </row>
    <row r="33" spans="1:6" x14ac:dyDescent="0.3">
      <c r="A33" s="6">
        <v>43512</v>
      </c>
      <c r="B33" s="1" t="s">
        <v>261</v>
      </c>
      <c r="C33" s="1">
        <v>5</v>
      </c>
      <c r="D33" s="1" t="s">
        <v>254</v>
      </c>
      <c r="E33" s="1">
        <v>0</v>
      </c>
      <c r="F33" s="1" t="str">
        <f t="shared" si="0"/>
        <v>승</v>
      </c>
    </row>
    <row r="34" spans="1:6" x14ac:dyDescent="0.3">
      <c r="A34" s="6">
        <v>43513</v>
      </c>
      <c r="B34" s="1" t="s">
        <v>265</v>
      </c>
      <c r="C34" s="1">
        <v>5</v>
      </c>
      <c r="D34" s="1" t="s">
        <v>254</v>
      </c>
      <c r="E34" s="1">
        <v>3</v>
      </c>
      <c r="F34" s="1" t="str">
        <f t="shared" si="0"/>
        <v>승</v>
      </c>
    </row>
    <row r="35" spans="1:6" x14ac:dyDescent="0.3">
      <c r="A35" s="6">
        <v>43514</v>
      </c>
      <c r="B35" s="1" t="s">
        <v>256</v>
      </c>
      <c r="C35" s="1">
        <v>7</v>
      </c>
      <c r="D35" s="1" t="s">
        <v>259</v>
      </c>
      <c r="E35" s="1">
        <v>0</v>
      </c>
      <c r="F35" s="1" t="str">
        <f t="shared" si="0"/>
        <v>승</v>
      </c>
    </row>
    <row r="36" spans="1:6" x14ac:dyDescent="0.3">
      <c r="A36" s="6">
        <v>43514</v>
      </c>
      <c r="B36" s="1" t="s">
        <v>264</v>
      </c>
      <c r="C36" s="1">
        <v>3</v>
      </c>
      <c r="D36" s="1" t="s">
        <v>262</v>
      </c>
      <c r="E36" s="1">
        <v>3</v>
      </c>
      <c r="F36" s="1" t="str">
        <f t="shared" si="0"/>
        <v>무승부</v>
      </c>
    </row>
    <row r="37" spans="1:6" x14ac:dyDescent="0.3">
      <c r="A37" s="6">
        <v>43515</v>
      </c>
      <c r="B37" s="1" t="s">
        <v>258</v>
      </c>
      <c r="C37" s="1">
        <v>3</v>
      </c>
      <c r="D37" s="1" t="s">
        <v>253</v>
      </c>
      <c r="E37" s="1">
        <v>7</v>
      </c>
      <c r="F37" s="1" t="str">
        <f t="shared" si="0"/>
        <v>패</v>
      </c>
    </row>
    <row r="38" spans="1:6" x14ac:dyDescent="0.3">
      <c r="A38" s="6">
        <v>43515</v>
      </c>
      <c r="B38" s="1" t="s">
        <v>261</v>
      </c>
      <c r="C38" s="1">
        <v>2</v>
      </c>
      <c r="D38" s="1" t="s">
        <v>256</v>
      </c>
      <c r="E38" s="1">
        <v>8</v>
      </c>
      <c r="F38" s="1" t="str">
        <f t="shared" si="0"/>
        <v>패</v>
      </c>
    </row>
    <row r="39" spans="1:6" x14ac:dyDescent="0.3">
      <c r="A39" s="6">
        <v>43515</v>
      </c>
      <c r="B39" s="1" t="s">
        <v>254</v>
      </c>
      <c r="C39" s="1">
        <v>5</v>
      </c>
      <c r="D39" s="1" t="s">
        <v>263</v>
      </c>
      <c r="E39" s="1">
        <v>5</v>
      </c>
      <c r="F39" s="1" t="str">
        <f t="shared" si="0"/>
        <v>무승부</v>
      </c>
    </row>
    <row r="40" spans="1:6" x14ac:dyDescent="0.3">
      <c r="A40" s="6">
        <v>43516</v>
      </c>
      <c r="B40" s="1" t="s">
        <v>256</v>
      </c>
      <c r="C40" s="1">
        <v>0</v>
      </c>
      <c r="D40" s="1" t="s">
        <v>265</v>
      </c>
      <c r="E40" s="1">
        <v>5</v>
      </c>
      <c r="F40" s="1" t="str">
        <f t="shared" si="0"/>
        <v>패</v>
      </c>
    </row>
    <row r="41" spans="1:6" x14ac:dyDescent="0.3">
      <c r="A41" s="6">
        <v>43516</v>
      </c>
      <c r="B41" s="1" t="s">
        <v>258</v>
      </c>
      <c r="C41" s="1">
        <v>1</v>
      </c>
      <c r="D41" s="1" t="s">
        <v>261</v>
      </c>
      <c r="E41" s="1">
        <v>8</v>
      </c>
      <c r="F41" s="1" t="str">
        <f t="shared" si="0"/>
        <v>패</v>
      </c>
    </row>
    <row r="42" spans="1:6" x14ac:dyDescent="0.3">
      <c r="A42" s="6">
        <v>43516</v>
      </c>
      <c r="B42" s="1" t="s">
        <v>262</v>
      </c>
      <c r="C42" s="1">
        <v>2</v>
      </c>
      <c r="D42" s="1" t="s">
        <v>259</v>
      </c>
      <c r="E42" s="1">
        <v>4</v>
      </c>
      <c r="F42" s="1" t="str">
        <f t="shared" si="0"/>
        <v>패</v>
      </c>
    </row>
    <row r="43" spans="1:6" x14ac:dyDescent="0.3">
      <c r="A43" s="6">
        <v>43517</v>
      </c>
      <c r="B43" s="1" t="s">
        <v>258</v>
      </c>
      <c r="C43" s="1">
        <v>8</v>
      </c>
      <c r="D43" s="1" t="s">
        <v>264</v>
      </c>
      <c r="E43" s="1">
        <v>9</v>
      </c>
      <c r="F43" s="1" t="str">
        <f t="shared" si="0"/>
        <v>패</v>
      </c>
    </row>
    <row r="44" spans="1:6" x14ac:dyDescent="0.3">
      <c r="A44" s="6">
        <v>43517</v>
      </c>
      <c r="B44" s="1" t="s">
        <v>263</v>
      </c>
      <c r="C44" s="1">
        <v>2</v>
      </c>
      <c r="D44" s="1" t="s">
        <v>265</v>
      </c>
      <c r="E44" s="1">
        <v>10</v>
      </c>
      <c r="F44" s="1" t="str">
        <f t="shared" si="0"/>
        <v>패</v>
      </c>
    </row>
    <row r="45" spans="1:6" x14ac:dyDescent="0.3">
      <c r="A45" s="6">
        <v>43517</v>
      </c>
      <c r="B45" s="1" t="s">
        <v>254</v>
      </c>
      <c r="C45" s="1">
        <v>8</v>
      </c>
      <c r="D45" s="1" t="s">
        <v>259</v>
      </c>
      <c r="E45" s="1">
        <v>9</v>
      </c>
      <c r="F45" s="1" t="str">
        <f t="shared" si="0"/>
        <v>패</v>
      </c>
    </row>
    <row r="46" spans="1:6" x14ac:dyDescent="0.3">
      <c r="A46" s="6">
        <v>43518</v>
      </c>
      <c r="B46" s="1" t="s">
        <v>265</v>
      </c>
      <c r="C46" s="1">
        <v>5</v>
      </c>
      <c r="D46" s="1" t="s">
        <v>256</v>
      </c>
      <c r="E46" s="1">
        <v>0</v>
      </c>
      <c r="F46" s="1" t="str">
        <f t="shared" si="0"/>
        <v>승</v>
      </c>
    </row>
    <row r="47" spans="1:6" x14ac:dyDescent="0.3">
      <c r="A47" s="6">
        <v>43518</v>
      </c>
      <c r="B47" s="1" t="s">
        <v>264</v>
      </c>
      <c r="C47" s="1">
        <v>0</v>
      </c>
      <c r="D47" s="1" t="s">
        <v>261</v>
      </c>
      <c r="E47" s="1">
        <v>8</v>
      </c>
      <c r="F47" s="1" t="str">
        <f t="shared" si="0"/>
        <v>패</v>
      </c>
    </row>
    <row r="48" spans="1:6" x14ac:dyDescent="0.3">
      <c r="A48" s="6">
        <v>43518</v>
      </c>
      <c r="B48" s="1" t="s">
        <v>259</v>
      </c>
      <c r="C48" s="1">
        <v>5</v>
      </c>
      <c r="D48" s="1" t="s">
        <v>253</v>
      </c>
      <c r="E48" s="1">
        <v>7</v>
      </c>
      <c r="F48" s="1" t="str">
        <f t="shared" si="0"/>
        <v>패</v>
      </c>
    </row>
    <row r="49" spans="1:6" x14ac:dyDescent="0.3">
      <c r="A49" s="6">
        <v>43518</v>
      </c>
      <c r="B49" s="1" t="s">
        <v>263</v>
      </c>
      <c r="C49" s="1">
        <v>4</v>
      </c>
      <c r="D49" s="1" t="s">
        <v>258</v>
      </c>
      <c r="E49" s="1">
        <v>4</v>
      </c>
      <c r="F49" s="1" t="str">
        <f t="shared" si="0"/>
        <v>무승부</v>
      </c>
    </row>
    <row r="50" spans="1:6" x14ac:dyDescent="0.3">
      <c r="A50" s="6">
        <v>43519</v>
      </c>
      <c r="B50" s="1" t="s">
        <v>262</v>
      </c>
      <c r="C50" s="1">
        <v>2</v>
      </c>
      <c r="D50" s="1" t="s">
        <v>256</v>
      </c>
      <c r="E50" s="1">
        <v>0</v>
      </c>
      <c r="F50" s="1" t="str">
        <f t="shared" si="0"/>
        <v>승</v>
      </c>
    </row>
    <row r="51" spans="1:6" x14ac:dyDescent="0.3">
      <c r="A51" s="6">
        <v>43519</v>
      </c>
      <c r="B51" s="1" t="s">
        <v>258</v>
      </c>
      <c r="C51" s="1">
        <v>7</v>
      </c>
      <c r="D51" s="1" t="s">
        <v>253</v>
      </c>
      <c r="E51" s="1">
        <v>6</v>
      </c>
      <c r="F51" s="1" t="str">
        <f t="shared" si="0"/>
        <v>승</v>
      </c>
    </row>
    <row r="52" spans="1:6" x14ac:dyDescent="0.3">
      <c r="A52" s="6">
        <v>43519</v>
      </c>
      <c r="B52" s="1" t="s">
        <v>261</v>
      </c>
      <c r="C52" s="1">
        <v>2</v>
      </c>
      <c r="D52" s="1" t="s">
        <v>265</v>
      </c>
      <c r="E52" s="1">
        <v>4</v>
      </c>
      <c r="F52" s="1" t="str">
        <f t="shared" si="0"/>
        <v>패</v>
      </c>
    </row>
    <row r="53" spans="1:6" x14ac:dyDescent="0.3">
      <c r="A53" s="6">
        <v>43519</v>
      </c>
      <c r="B53" s="1" t="s">
        <v>254</v>
      </c>
      <c r="C53" s="1">
        <v>1</v>
      </c>
      <c r="D53" s="1" t="s">
        <v>263</v>
      </c>
      <c r="E53" s="1">
        <v>2</v>
      </c>
      <c r="F53" s="1" t="str">
        <f t="shared" si="0"/>
        <v>패</v>
      </c>
    </row>
    <row r="54" spans="1:6" x14ac:dyDescent="0.3">
      <c r="A54" s="6">
        <v>43520</v>
      </c>
      <c r="B54" s="1" t="s">
        <v>264</v>
      </c>
      <c r="C54" s="1">
        <v>3</v>
      </c>
      <c r="D54" s="1" t="s">
        <v>259</v>
      </c>
      <c r="E54" s="1">
        <v>9</v>
      </c>
      <c r="F54" s="1" t="str">
        <f t="shared" si="0"/>
        <v>패</v>
      </c>
    </row>
    <row r="55" spans="1:6" x14ac:dyDescent="0.3">
      <c r="A55" s="6">
        <v>43521</v>
      </c>
      <c r="B55" s="1" t="s">
        <v>258</v>
      </c>
      <c r="C55" s="1">
        <v>10</v>
      </c>
      <c r="D55" s="1" t="s">
        <v>265</v>
      </c>
      <c r="E55" s="1">
        <v>9</v>
      </c>
      <c r="F55" s="1" t="str">
        <f t="shared" si="0"/>
        <v>승</v>
      </c>
    </row>
    <row r="56" spans="1:6" x14ac:dyDescent="0.3">
      <c r="A56" s="6">
        <v>43521</v>
      </c>
      <c r="B56" s="1" t="s">
        <v>261</v>
      </c>
      <c r="C56" s="1">
        <v>2</v>
      </c>
      <c r="D56" s="1" t="s">
        <v>263</v>
      </c>
      <c r="E56" s="1">
        <v>0</v>
      </c>
      <c r="F56" s="1" t="str">
        <f t="shared" si="0"/>
        <v>승</v>
      </c>
    </row>
    <row r="57" spans="1:6" x14ac:dyDescent="0.3">
      <c r="A57" s="6">
        <v>43522</v>
      </c>
      <c r="B57" s="1" t="s">
        <v>261</v>
      </c>
      <c r="C57" s="1">
        <v>4</v>
      </c>
      <c r="D57" s="1" t="s">
        <v>263</v>
      </c>
      <c r="E57" s="1">
        <v>6</v>
      </c>
      <c r="F57" s="1" t="str">
        <f t="shared" si="0"/>
        <v>패</v>
      </c>
    </row>
    <row r="58" spans="1:6" x14ac:dyDescent="0.3">
      <c r="A58" s="6">
        <v>43522</v>
      </c>
      <c r="B58" s="1" t="s">
        <v>265</v>
      </c>
      <c r="C58" s="1">
        <v>8</v>
      </c>
      <c r="D58" s="1" t="s">
        <v>254</v>
      </c>
      <c r="E58" s="1">
        <v>0</v>
      </c>
      <c r="F58" s="1" t="str">
        <f t="shared" si="0"/>
        <v>승</v>
      </c>
    </row>
    <row r="59" spans="1:6" x14ac:dyDescent="0.3">
      <c r="A59" s="6">
        <v>43522</v>
      </c>
      <c r="B59" s="1" t="s">
        <v>253</v>
      </c>
      <c r="C59" s="1">
        <v>2</v>
      </c>
      <c r="D59" s="1" t="s">
        <v>262</v>
      </c>
      <c r="E59" s="1">
        <v>9</v>
      </c>
      <c r="F59" s="1" t="str">
        <f t="shared" si="0"/>
        <v>패</v>
      </c>
    </row>
    <row r="60" spans="1:6" x14ac:dyDescent="0.3">
      <c r="A60" s="6">
        <v>43522</v>
      </c>
      <c r="B60" s="1" t="s">
        <v>264</v>
      </c>
      <c r="C60" s="1">
        <v>6</v>
      </c>
      <c r="D60" s="1" t="s">
        <v>258</v>
      </c>
      <c r="E60" s="1">
        <v>4</v>
      </c>
      <c r="F60" s="1" t="str">
        <f t="shared" si="0"/>
        <v>승</v>
      </c>
    </row>
    <row r="61" spans="1:6" x14ac:dyDescent="0.3">
      <c r="A61" s="6">
        <v>43523</v>
      </c>
      <c r="B61" s="1" t="s">
        <v>259</v>
      </c>
      <c r="C61" s="1">
        <v>7</v>
      </c>
      <c r="D61" s="1" t="s">
        <v>263</v>
      </c>
      <c r="E61" s="1">
        <v>7</v>
      </c>
      <c r="F61" s="1" t="str">
        <f t="shared" si="0"/>
        <v>무승부</v>
      </c>
    </row>
    <row r="62" spans="1:6" x14ac:dyDescent="0.3">
      <c r="A62" s="6">
        <v>43524</v>
      </c>
      <c r="B62" s="1" t="s">
        <v>261</v>
      </c>
      <c r="C62" s="1">
        <v>3</v>
      </c>
      <c r="D62" s="1" t="s">
        <v>256</v>
      </c>
      <c r="E62" s="1">
        <v>6</v>
      </c>
      <c r="F62" s="1" t="str">
        <f t="shared" si="0"/>
        <v>패</v>
      </c>
    </row>
    <row r="63" spans="1:6" x14ac:dyDescent="0.3">
      <c r="A63" s="6">
        <v>43524</v>
      </c>
      <c r="B63" s="1" t="s">
        <v>259</v>
      </c>
      <c r="C63" s="1">
        <v>8</v>
      </c>
      <c r="D63" s="1" t="s">
        <v>253</v>
      </c>
      <c r="E63" s="1">
        <v>9</v>
      </c>
      <c r="F63" s="1" t="str">
        <f t="shared" si="0"/>
        <v>패</v>
      </c>
    </row>
    <row r="64" spans="1:6" x14ac:dyDescent="0.3">
      <c r="A64" s="6">
        <v>43524</v>
      </c>
      <c r="B64" s="1" t="s">
        <v>254</v>
      </c>
      <c r="C64" s="1">
        <v>9</v>
      </c>
      <c r="D64" s="1" t="s">
        <v>258</v>
      </c>
      <c r="E64" s="1">
        <v>5</v>
      </c>
      <c r="F64" s="1" t="str">
        <f t="shared" si="0"/>
        <v>승</v>
      </c>
    </row>
    <row r="65" spans="1:6" x14ac:dyDescent="0.3">
      <c r="A65" s="6">
        <v>43524</v>
      </c>
      <c r="B65" s="1" t="s">
        <v>262</v>
      </c>
      <c r="C65" s="1">
        <v>1</v>
      </c>
      <c r="D65" s="1" t="s">
        <v>263</v>
      </c>
      <c r="E65" s="1">
        <v>7</v>
      </c>
      <c r="F65" s="1" t="str">
        <f t="shared" si="0"/>
        <v>패</v>
      </c>
    </row>
    <row r="66" spans="1:6" x14ac:dyDescent="0.3">
      <c r="A66" s="6">
        <v>43525</v>
      </c>
      <c r="B66" s="1" t="s">
        <v>264</v>
      </c>
      <c r="C66" s="1">
        <v>9</v>
      </c>
      <c r="D66" s="1" t="s">
        <v>254</v>
      </c>
      <c r="E66" s="1">
        <v>10</v>
      </c>
      <c r="F66" s="1" t="str">
        <f t="shared" si="0"/>
        <v>패</v>
      </c>
    </row>
    <row r="67" spans="1:6" x14ac:dyDescent="0.3">
      <c r="A67" s="6">
        <v>43525</v>
      </c>
      <c r="B67" s="1" t="s">
        <v>261</v>
      </c>
      <c r="C67" s="1">
        <v>2</v>
      </c>
      <c r="D67" s="1" t="s">
        <v>258</v>
      </c>
      <c r="E67" s="1">
        <v>1</v>
      </c>
      <c r="F67" s="1" t="str">
        <f t="shared" ref="F67:F121" si="1">IF(C67&gt;E67,"승",IF(C67&lt;E67,"패","무승부"))</f>
        <v>승</v>
      </c>
    </row>
    <row r="68" spans="1:6" x14ac:dyDescent="0.3">
      <c r="A68" s="6">
        <v>43526</v>
      </c>
      <c r="B68" s="1" t="s">
        <v>254</v>
      </c>
      <c r="C68" s="1">
        <v>1</v>
      </c>
      <c r="D68" s="1" t="s">
        <v>259</v>
      </c>
      <c r="E68" s="1">
        <v>9</v>
      </c>
      <c r="F68" s="1" t="str">
        <f t="shared" si="1"/>
        <v>패</v>
      </c>
    </row>
    <row r="69" spans="1:6" x14ac:dyDescent="0.3">
      <c r="A69" s="6">
        <v>43526</v>
      </c>
      <c r="B69" s="1" t="s">
        <v>262</v>
      </c>
      <c r="C69" s="1">
        <v>10</v>
      </c>
      <c r="D69" s="1" t="s">
        <v>253</v>
      </c>
      <c r="E69" s="1">
        <v>1</v>
      </c>
      <c r="F69" s="1" t="str">
        <f t="shared" si="1"/>
        <v>승</v>
      </c>
    </row>
    <row r="70" spans="1:6" x14ac:dyDescent="0.3">
      <c r="A70" s="6">
        <v>43528</v>
      </c>
      <c r="B70" s="1" t="s">
        <v>253</v>
      </c>
      <c r="C70" s="1">
        <v>1</v>
      </c>
      <c r="D70" s="1" t="s">
        <v>262</v>
      </c>
      <c r="E70" s="1">
        <v>0</v>
      </c>
      <c r="F70" s="1" t="str">
        <f t="shared" si="1"/>
        <v>승</v>
      </c>
    </row>
    <row r="71" spans="1:6" x14ac:dyDescent="0.3">
      <c r="A71" s="6">
        <v>43529</v>
      </c>
      <c r="B71" s="1" t="s">
        <v>258</v>
      </c>
      <c r="C71" s="1">
        <v>6</v>
      </c>
      <c r="D71" s="1" t="s">
        <v>263</v>
      </c>
      <c r="E71" s="1">
        <v>9</v>
      </c>
      <c r="F71" s="1" t="str">
        <f t="shared" si="1"/>
        <v>패</v>
      </c>
    </row>
    <row r="72" spans="1:6" x14ac:dyDescent="0.3">
      <c r="A72" s="6">
        <v>43529</v>
      </c>
      <c r="B72" s="1" t="s">
        <v>264</v>
      </c>
      <c r="C72" s="1">
        <v>2</v>
      </c>
      <c r="D72" s="1" t="s">
        <v>254</v>
      </c>
      <c r="E72" s="1">
        <v>7</v>
      </c>
      <c r="F72" s="1" t="str">
        <f t="shared" si="1"/>
        <v>패</v>
      </c>
    </row>
    <row r="73" spans="1:6" x14ac:dyDescent="0.3">
      <c r="A73" s="6">
        <v>43530</v>
      </c>
      <c r="B73" s="1" t="s">
        <v>264</v>
      </c>
      <c r="C73" s="1">
        <v>2</v>
      </c>
      <c r="D73" s="1" t="s">
        <v>256</v>
      </c>
      <c r="E73" s="1">
        <v>8</v>
      </c>
      <c r="F73" s="1" t="str">
        <f t="shared" si="1"/>
        <v>패</v>
      </c>
    </row>
    <row r="74" spans="1:6" x14ac:dyDescent="0.3">
      <c r="A74" s="6">
        <v>43532</v>
      </c>
      <c r="B74" s="1" t="s">
        <v>265</v>
      </c>
      <c r="C74" s="1">
        <v>10</v>
      </c>
      <c r="D74" s="1" t="s">
        <v>254</v>
      </c>
      <c r="E74" s="1">
        <v>1</v>
      </c>
      <c r="F74" s="1" t="str">
        <f t="shared" si="1"/>
        <v>승</v>
      </c>
    </row>
    <row r="75" spans="1:6" x14ac:dyDescent="0.3">
      <c r="A75" s="6">
        <v>43533</v>
      </c>
      <c r="B75" s="1" t="s">
        <v>261</v>
      </c>
      <c r="C75" s="1">
        <v>4</v>
      </c>
      <c r="D75" s="1" t="s">
        <v>264</v>
      </c>
      <c r="E75" s="1">
        <v>4</v>
      </c>
      <c r="F75" s="1" t="str">
        <f t="shared" si="1"/>
        <v>무승부</v>
      </c>
    </row>
    <row r="76" spans="1:6" x14ac:dyDescent="0.3">
      <c r="A76" s="6">
        <v>43534</v>
      </c>
      <c r="B76" s="1" t="s">
        <v>258</v>
      </c>
      <c r="C76" s="1">
        <v>2</v>
      </c>
      <c r="D76" s="1" t="s">
        <v>254</v>
      </c>
      <c r="E76" s="1">
        <v>1</v>
      </c>
      <c r="F76" s="1" t="str">
        <f t="shared" si="1"/>
        <v>승</v>
      </c>
    </row>
    <row r="77" spans="1:6" x14ac:dyDescent="0.3">
      <c r="A77" s="6">
        <v>43535</v>
      </c>
      <c r="B77" s="1" t="s">
        <v>265</v>
      </c>
      <c r="C77" s="1">
        <v>9</v>
      </c>
      <c r="D77" s="1" t="s">
        <v>259</v>
      </c>
      <c r="E77" s="1">
        <v>10</v>
      </c>
      <c r="F77" s="1" t="str">
        <f t="shared" si="1"/>
        <v>패</v>
      </c>
    </row>
    <row r="78" spans="1:6" x14ac:dyDescent="0.3">
      <c r="A78" s="6">
        <v>43536</v>
      </c>
      <c r="B78" s="1" t="s">
        <v>258</v>
      </c>
      <c r="C78" s="1">
        <v>3</v>
      </c>
      <c r="D78" s="1" t="s">
        <v>256</v>
      </c>
      <c r="E78" s="1">
        <v>2</v>
      </c>
      <c r="F78" s="1" t="str">
        <f t="shared" si="1"/>
        <v>승</v>
      </c>
    </row>
    <row r="79" spans="1:6" x14ac:dyDescent="0.3">
      <c r="A79" s="6">
        <v>43539</v>
      </c>
      <c r="B79" s="1" t="s">
        <v>265</v>
      </c>
      <c r="C79" s="1">
        <v>4</v>
      </c>
      <c r="D79" s="1" t="s">
        <v>256</v>
      </c>
      <c r="E79" s="1">
        <v>0</v>
      </c>
      <c r="F79" s="1" t="str">
        <f t="shared" si="1"/>
        <v>승</v>
      </c>
    </row>
    <row r="80" spans="1:6" x14ac:dyDescent="0.3">
      <c r="A80" s="6">
        <v>43539</v>
      </c>
      <c r="B80" s="1" t="s">
        <v>254</v>
      </c>
      <c r="C80" s="1">
        <v>8</v>
      </c>
      <c r="D80" s="1" t="s">
        <v>258</v>
      </c>
      <c r="E80" s="1">
        <v>3</v>
      </c>
      <c r="F80" s="1" t="str">
        <f t="shared" si="1"/>
        <v>승</v>
      </c>
    </row>
    <row r="81" spans="1:6" x14ac:dyDescent="0.3">
      <c r="A81" s="6">
        <v>43539</v>
      </c>
      <c r="B81" s="1" t="s">
        <v>261</v>
      </c>
      <c r="C81" s="1">
        <v>9</v>
      </c>
      <c r="D81" s="1" t="s">
        <v>259</v>
      </c>
      <c r="E81" s="1">
        <v>2</v>
      </c>
      <c r="F81" s="1" t="str">
        <f t="shared" si="1"/>
        <v>승</v>
      </c>
    </row>
    <row r="82" spans="1:6" x14ac:dyDescent="0.3">
      <c r="A82" s="6">
        <v>43540</v>
      </c>
      <c r="B82" s="1" t="s">
        <v>253</v>
      </c>
      <c r="C82" s="1">
        <v>7</v>
      </c>
      <c r="D82" s="1" t="s">
        <v>258</v>
      </c>
      <c r="E82" s="1">
        <v>8</v>
      </c>
      <c r="F82" s="1" t="str">
        <f t="shared" si="1"/>
        <v>패</v>
      </c>
    </row>
    <row r="83" spans="1:6" x14ac:dyDescent="0.3">
      <c r="A83" s="6">
        <v>43540</v>
      </c>
      <c r="B83" s="1" t="s">
        <v>259</v>
      </c>
      <c r="C83" s="1">
        <v>4</v>
      </c>
      <c r="D83" s="1" t="s">
        <v>265</v>
      </c>
      <c r="E83" s="1">
        <v>2</v>
      </c>
      <c r="F83" s="1" t="str">
        <f t="shared" si="1"/>
        <v>승</v>
      </c>
    </row>
    <row r="84" spans="1:6" x14ac:dyDescent="0.3">
      <c r="A84" s="6">
        <v>43542</v>
      </c>
      <c r="B84" s="1" t="s">
        <v>263</v>
      </c>
      <c r="C84" s="1">
        <v>3</v>
      </c>
      <c r="D84" s="1" t="s">
        <v>256</v>
      </c>
      <c r="E84" s="1">
        <v>3</v>
      </c>
      <c r="F84" s="1" t="str">
        <f t="shared" si="1"/>
        <v>무승부</v>
      </c>
    </row>
    <row r="85" spans="1:6" x14ac:dyDescent="0.3">
      <c r="A85" s="6">
        <v>43542</v>
      </c>
      <c r="B85" s="1" t="s">
        <v>262</v>
      </c>
      <c r="C85" s="1">
        <v>4</v>
      </c>
      <c r="D85" s="1" t="s">
        <v>265</v>
      </c>
      <c r="E85" s="1">
        <v>3</v>
      </c>
      <c r="F85" s="1" t="str">
        <f t="shared" si="1"/>
        <v>승</v>
      </c>
    </row>
    <row r="86" spans="1:6" x14ac:dyDescent="0.3">
      <c r="A86" s="6">
        <v>43543</v>
      </c>
      <c r="B86" s="1" t="s">
        <v>256</v>
      </c>
      <c r="C86" s="1">
        <v>4</v>
      </c>
      <c r="D86" s="1" t="s">
        <v>253</v>
      </c>
      <c r="E86" s="1">
        <v>3</v>
      </c>
      <c r="F86" s="1" t="str">
        <f t="shared" si="1"/>
        <v>승</v>
      </c>
    </row>
    <row r="87" spans="1:6" x14ac:dyDescent="0.3">
      <c r="A87" s="6">
        <v>43544</v>
      </c>
      <c r="B87" s="1" t="s">
        <v>256</v>
      </c>
      <c r="C87" s="1">
        <v>4</v>
      </c>
      <c r="D87" s="1" t="s">
        <v>259</v>
      </c>
      <c r="E87" s="1">
        <v>4</v>
      </c>
      <c r="F87" s="1" t="str">
        <f t="shared" si="1"/>
        <v>무승부</v>
      </c>
    </row>
    <row r="88" spans="1:6" x14ac:dyDescent="0.3">
      <c r="A88" s="6">
        <v>43544</v>
      </c>
      <c r="B88" s="1" t="s">
        <v>253</v>
      </c>
      <c r="C88" s="1">
        <v>4</v>
      </c>
      <c r="D88" s="1" t="s">
        <v>263</v>
      </c>
      <c r="E88" s="1">
        <v>2</v>
      </c>
      <c r="F88" s="1" t="str">
        <f t="shared" si="1"/>
        <v>승</v>
      </c>
    </row>
    <row r="89" spans="1:6" x14ac:dyDescent="0.3">
      <c r="A89" s="6">
        <v>43544</v>
      </c>
      <c r="B89" s="1" t="s">
        <v>265</v>
      </c>
      <c r="C89" s="1">
        <v>8</v>
      </c>
      <c r="D89" s="1" t="s">
        <v>264</v>
      </c>
      <c r="E89" s="1">
        <v>1</v>
      </c>
      <c r="F89" s="1" t="str">
        <f t="shared" si="1"/>
        <v>승</v>
      </c>
    </row>
    <row r="90" spans="1:6" x14ac:dyDescent="0.3">
      <c r="A90" s="6">
        <v>43544</v>
      </c>
      <c r="B90" s="1" t="s">
        <v>254</v>
      </c>
      <c r="C90" s="1">
        <v>8</v>
      </c>
      <c r="D90" s="1" t="s">
        <v>261</v>
      </c>
      <c r="E90" s="1">
        <v>5</v>
      </c>
      <c r="F90" s="1" t="str">
        <f t="shared" si="1"/>
        <v>승</v>
      </c>
    </row>
    <row r="91" spans="1:6" x14ac:dyDescent="0.3">
      <c r="A91" s="6">
        <v>43545</v>
      </c>
      <c r="B91" s="1" t="s">
        <v>259</v>
      </c>
      <c r="C91" s="1">
        <v>8</v>
      </c>
      <c r="D91" s="1" t="s">
        <v>264</v>
      </c>
      <c r="E91" s="1">
        <v>0</v>
      </c>
      <c r="F91" s="1" t="str">
        <f t="shared" si="1"/>
        <v>승</v>
      </c>
    </row>
    <row r="92" spans="1:6" x14ac:dyDescent="0.3">
      <c r="A92" s="6">
        <v>43546</v>
      </c>
      <c r="B92" s="1" t="s">
        <v>253</v>
      </c>
      <c r="C92" s="1">
        <v>6</v>
      </c>
      <c r="D92" s="1" t="s">
        <v>263</v>
      </c>
      <c r="E92" s="1">
        <v>0</v>
      </c>
      <c r="F92" s="1" t="str">
        <f t="shared" si="1"/>
        <v>승</v>
      </c>
    </row>
    <row r="93" spans="1:6" x14ac:dyDescent="0.3">
      <c r="A93" s="6">
        <v>43546</v>
      </c>
      <c r="B93" s="1" t="s">
        <v>261</v>
      </c>
      <c r="C93" s="1">
        <v>6</v>
      </c>
      <c r="D93" s="1" t="s">
        <v>254</v>
      </c>
      <c r="E93" s="1">
        <v>5</v>
      </c>
      <c r="F93" s="1" t="str">
        <f t="shared" si="1"/>
        <v>승</v>
      </c>
    </row>
    <row r="94" spans="1:6" x14ac:dyDescent="0.3">
      <c r="A94" s="6">
        <v>43547</v>
      </c>
      <c r="B94" s="1" t="s">
        <v>256</v>
      </c>
      <c r="C94" s="1">
        <v>4</v>
      </c>
      <c r="D94" s="1" t="s">
        <v>264</v>
      </c>
      <c r="E94" s="1">
        <v>10</v>
      </c>
      <c r="F94" s="1" t="str">
        <f t="shared" si="1"/>
        <v>패</v>
      </c>
    </row>
    <row r="95" spans="1:6" x14ac:dyDescent="0.3">
      <c r="A95" s="6">
        <v>43548</v>
      </c>
      <c r="B95" s="1" t="s">
        <v>253</v>
      </c>
      <c r="C95" s="1">
        <v>2</v>
      </c>
      <c r="D95" s="1" t="s">
        <v>265</v>
      </c>
      <c r="E95" s="1">
        <v>8</v>
      </c>
      <c r="F95" s="1" t="str">
        <f t="shared" si="1"/>
        <v>패</v>
      </c>
    </row>
    <row r="96" spans="1:6" x14ac:dyDescent="0.3">
      <c r="A96" s="6">
        <v>43548</v>
      </c>
      <c r="B96" s="1" t="s">
        <v>256</v>
      </c>
      <c r="C96" s="1">
        <v>5</v>
      </c>
      <c r="D96" s="1" t="s">
        <v>254</v>
      </c>
      <c r="E96" s="1">
        <v>7</v>
      </c>
      <c r="F96" s="1" t="str">
        <f t="shared" si="1"/>
        <v>패</v>
      </c>
    </row>
    <row r="97" spans="1:6" x14ac:dyDescent="0.3">
      <c r="A97" s="6">
        <v>43548</v>
      </c>
      <c r="B97" s="1" t="s">
        <v>264</v>
      </c>
      <c r="C97" s="1">
        <v>6</v>
      </c>
      <c r="D97" s="1" t="s">
        <v>259</v>
      </c>
      <c r="E97" s="1">
        <v>5</v>
      </c>
      <c r="F97" s="1" t="str">
        <f t="shared" si="1"/>
        <v>승</v>
      </c>
    </row>
    <row r="98" spans="1:6" x14ac:dyDescent="0.3">
      <c r="A98" s="6">
        <v>43549</v>
      </c>
      <c r="B98" s="1" t="s">
        <v>258</v>
      </c>
      <c r="C98" s="1">
        <v>6</v>
      </c>
      <c r="D98" s="1" t="s">
        <v>254</v>
      </c>
      <c r="E98" s="1">
        <v>7</v>
      </c>
      <c r="F98" s="1" t="str">
        <f t="shared" si="1"/>
        <v>패</v>
      </c>
    </row>
    <row r="99" spans="1:6" x14ac:dyDescent="0.3">
      <c r="A99" s="6">
        <v>43549</v>
      </c>
      <c r="B99" s="1" t="s">
        <v>261</v>
      </c>
      <c r="C99" s="1">
        <v>3</v>
      </c>
      <c r="D99" s="1" t="s">
        <v>263</v>
      </c>
      <c r="E99" s="1">
        <v>7</v>
      </c>
      <c r="F99" s="1" t="str">
        <f t="shared" si="1"/>
        <v>패</v>
      </c>
    </row>
    <row r="100" spans="1:6" x14ac:dyDescent="0.3">
      <c r="A100" s="6">
        <v>43549</v>
      </c>
      <c r="B100" s="1" t="s">
        <v>264</v>
      </c>
      <c r="C100" s="1">
        <v>3</v>
      </c>
      <c r="D100" s="1" t="s">
        <v>256</v>
      </c>
      <c r="E100" s="1">
        <v>2</v>
      </c>
      <c r="F100" s="1" t="str">
        <f t="shared" si="1"/>
        <v>승</v>
      </c>
    </row>
    <row r="101" spans="1:6" x14ac:dyDescent="0.3">
      <c r="A101" s="6">
        <v>43550</v>
      </c>
      <c r="B101" s="1" t="s">
        <v>263</v>
      </c>
      <c r="C101" s="1">
        <v>9</v>
      </c>
      <c r="D101" s="1" t="s">
        <v>265</v>
      </c>
      <c r="E101" s="1">
        <v>9</v>
      </c>
      <c r="F101" s="1" t="str">
        <f t="shared" si="1"/>
        <v>무승부</v>
      </c>
    </row>
    <row r="102" spans="1:6" x14ac:dyDescent="0.3">
      <c r="A102" s="6">
        <v>43550</v>
      </c>
      <c r="B102" s="1" t="s">
        <v>259</v>
      </c>
      <c r="C102" s="1">
        <v>9</v>
      </c>
      <c r="D102" s="1" t="s">
        <v>261</v>
      </c>
      <c r="E102" s="1">
        <v>7</v>
      </c>
      <c r="F102" s="1" t="str">
        <f t="shared" si="1"/>
        <v>승</v>
      </c>
    </row>
    <row r="103" spans="1:6" x14ac:dyDescent="0.3">
      <c r="A103" s="6">
        <v>43550</v>
      </c>
      <c r="B103" s="1" t="s">
        <v>254</v>
      </c>
      <c r="C103" s="1">
        <v>3</v>
      </c>
      <c r="D103" s="1" t="s">
        <v>264</v>
      </c>
      <c r="E103" s="1">
        <v>5</v>
      </c>
      <c r="F103" s="1" t="str">
        <f t="shared" si="1"/>
        <v>패</v>
      </c>
    </row>
    <row r="104" spans="1:6" x14ac:dyDescent="0.3">
      <c r="A104" s="6">
        <v>43551</v>
      </c>
      <c r="B104" s="1" t="s">
        <v>261</v>
      </c>
      <c r="C104" s="1">
        <v>9</v>
      </c>
      <c r="D104" s="1" t="s">
        <v>256</v>
      </c>
      <c r="E104" s="1">
        <v>9</v>
      </c>
      <c r="F104" s="1" t="str">
        <f t="shared" si="1"/>
        <v>무승부</v>
      </c>
    </row>
    <row r="105" spans="1:6" x14ac:dyDescent="0.3">
      <c r="A105" s="6">
        <v>43552</v>
      </c>
      <c r="B105" s="1" t="s">
        <v>254</v>
      </c>
      <c r="C105" s="1">
        <v>3</v>
      </c>
      <c r="D105" s="1" t="s">
        <v>258</v>
      </c>
      <c r="E105" s="1">
        <v>1</v>
      </c>
      <c r="F105" s="1" t="str">
        <f t="shared" si="1"/>
        <v>승</v>
      </c>
    </row>
    <row r="106" spans="1:6" x14ac:dyDescent="0.3">
      <c r="A106" s="6">
        <v>43552</v>
      </c>
      <c r="B106" s="1" t="s">
        <v>259</v>
      </c>
      <c r="C106" s="1">
        <v>3</v>
      </c>
      <c r="D106" s="1" t="s">
        <v>265</v>
      </c>
      <c r="E106" s="1">
        <v>6</v>
      </c>
      <c r="F106" s="1" t="str">
        <f t="shared" si="1"/>
        <v>패</v>
      </c>
    </row>
    <row r="107" spans="1:6" x14ac:dyDescent="0.3">
      <c r="A107" s="6">
        <v>43552</v>
      </c>
      <c r="B107" s="1" t="s">
        <v>262</v>
      </c>
      <c r="C107" s="1">
        <v>4</v>
      </c>
      <c r="D107" s="1" t="s">
        <v>264</v>
      </c>
      <c r="E107" s="1">
        <v>6</v>
      </c>
      <c r="F107" s="1" t="str">
        <f t="shared" si="1"/>
        <v>패</v>
      </c>
    </row>
    <row r="108" spans="1:6" x14ac:dyDescent="0.3">
      <c r="A108" s="6">
        <v>43552</v>
      </c>
      <c r="B108" s="1" t="s">
        <v>263</v>
      </c>
      <c r="C108" s="1">
        <v>4</v>
      </c>
      <c r="D108" s="1" t="s">
        <v>253</v>
      </c>
      <c r="E108" s="1">
        <v>4</v>
      </c>
      <c r="F108" s="1" t="str">
        <f t="shared" si="1"/>
        <v>무승부</v>
      </c>
    </row>
    <row r="109" spans="1:6" x14ac:dyDescent="0.3">
      <c r="A109" s="6">
        <v>43553</v>
      </c>
      <c r="B109" s="1" t="s">
        <v>263</v>
      </c>
      <c r="C109" s="1">
        <v>7</v>
      </c>
      <c r="D109" s="1" t="s">
        <v>259</v>
      </c>
      <c r="E109" s="1">
        <v>7</v>
      </c>
      <c r="F109" s="1" t="str">
        <f t="shared" si="1"/>
        <v>무승부</v>
      </c>
    </row>
    <row r="110" spans="1:6" x14ac:dyDescent="0.3">
      <c r="A110" s="6">
        <v>43553</v>
      </c>
      <c r="B110" s="1" t="s">
        <v>254</v>
      </c>
      <c r="C110" s="1">
        <v>8</v>
      </c>
      <c r="D110" s="1" t="s">
        <v>264</v>
      </c>
      <c r="E110" s="1">
        <v>4</v>
      </c>
      <c r="F110" s="1" t="str">
        <f t="shared" si="1"/>
        <v>승</v>
      </c>
    </row>
    <row r="111" spans="1:6" x14ac:dyDescent="0.3">
      <c r="A111" s="6">
        <v>43554</v>
      </c>
      <c r="B111" s="1" t="s">
        <v>258</v>
      </c>
      <c r="C111" s="1">
        <v>1</v>
      </c>
      <c r="D111" s="1" t="s">
        <v>253</v>
      </c>
      <c r="E111" s="1">
        <v>7</v>
      </c>
      <c r="F111" s="1" t="str">
        <f t="shared" si="1"/>
        <v>패</v>
      </c>
    </row>
    <row r="112" spans="1:6" x14ac:dyDescent="0.3">
      <c r="A112" s="6">
        <v>43554</v>
      </c>
      <c r="B112" s="1" t="s">
        <v>262</v>
      </c>
      <c r="C112" s="1">
        <v>3</v>
      </c>
      <c r="D112" s="1" t="s">
        <v>261</v>
      </c>
      <c r="E112" s="1">
        <v>1</v>
      </c>
      <c r="F112" s="1" t="str">
        <f t="shared" si="1"/>
        <v>승</v>
      </c>
    </row>
    <row r="113" spans="1:6" x14ac:dyDescent="0.3">
      <c r="A113" s="6">
        <v>43555</v>
      </c>
      <c r="B113" s="1" t="s">
        <v>254</v>
      </c>
      <c r="C113" s="1">
        <v>9</v>
      </c>
      <c r="D113" s="1" t="s">
        <v>259</v>
      </c>
      <c r="E113" s="1">
        <v>7</v>
      </c>
      <c r="F113" s="1" t="str">
        <f t="shared" si="1"/>
        <v>승</v>
      </c>
    </row>
    <row r="114" spans="1:6" x14ac:dyDescent="0.3">
      <c r="A114" s="6">
        <v>43555</v>
      </c>
      <c r="B114" s="1" t="s">
        <v>256</v>
      </c>
      <c r="C114" s="1">
        <v>5</v>
      </c>
      <c r="D114" s="1" t="s">
        <v>258</v>
      </c>
      <c r="E114" s="1">
        <v>2</v>
      </c>
      <c r="F114" s="1" t="str">
        <f t="shared" si="1"/>
        <v>승</v>
      </c>
    </row>
    <row r="115" spans="1:6" x14ac:dyDescent="0.3">
      <c r="A115" s="6">
        <v>43556</v>
      </c>
      <c r="B115" s="1" t="s">
        <v>265</v>
      </c>
      <c r="C115" s="1">
        <v>6</v>
      </c>
      <c r="D115" s="1" t="s">
        <v>256</v>
      </c>
      <c r="E115" s="1">
        <v>8</v>
      </c>
      <c r="F115" s="1" t="str">
        <f t="shared" si="1"/>
        <v>패</v>
      </c>
    </row>
    <row r="116" spans="1:6" x14ac:dyDescent="0.3">
      <c r="A116" s="6">
        <v>43556</v>
      </c>
      <c r="B116" s="1" t="s">
        <v>262</v>
      </c>
      <c r="C116" s="1">
        <v>9</v>
      </c>
      <c r="D116" s="1" t="s">
        <v>263</v>
      </c>
      <c r="E116" s="1">
        <v>10</v>
      </c>
      <c r="F116" s="1" t="str">
        <f t="shared" si="1"/>
        <v>패</v>
      </c>
    </row>
    <row r="117" spans="1:6" x14ac:dyDescent="0.3">
      <c r="A117" s="6">
        <v>43557</v>
      </c>
      <c r="B117" s="1" t="s">
        <v>265</v>
      </c>
      <c r="C117" s="1">
        <v>8</v>
      </c>
      <c r="D117" s="1" t="s">
        <v>258</v>
      </c>
      <c r="E117" s="1">
        <v>6</v>
      </c>
      <c r="F117" s="1" t="str">
        <f t="shared" si="1"/>
        <v>승</v>
      </c>
    </row>
    <row r="118" spans="1:6" x14ac:dyDescent="0.3">
      <c r="A118" s="6">
        <v>43557</v>
      </c>
      <c r="B118" s="1" t="s">
        <v>256</v>
      </c>
      <c r="C118" s="1">
        <v>7</v>
      </c>
      <c r="D118" s="1" t="s">
        <v>262</v>
      </c>
      <c r="E118" s="1">
        <v>5</v>
      </c>
      <c r="F118" s="1" t="str">
        <f t="shared" si="1"/>
        <v>승</v>
      </c>
    </row>
    <row r="119" spans="1:6" x14ac:dyDescent="0.3">
      <c r="A119" s="6">
        <v>43557</v>
      </c>
      <c r="B119" s="1" t="s">
        <v>254</v>
      </c>
      <c r="C119" s="1">
        <v>1</v>
      </c>
      <c r="D119" s="1" t="s">
        <v>253</v>
      </c>
      <c r="E119" s="1">
        <v>7</v>
      </c>
      <c r="F119" s="1" t="str">
        <f t="shared" si="1"/>
        <v>패</v>
      </c>
    </row>
    <row r="120" spans="1:6" x14ac:dyDescent="0.3">
      <c r="A120" s="6">
        <v>43557</v>
      </c>
      <c r="B120" s="1" t="s">
        <v>262</v>
      </c>
      <c r="C120" s="1">
        <v>9</v>
      </c>
      <c r="D120" s="1" t="s">
        <v>263</v>
      </c>
      <c r="E120" s="1">
        <v>1</v>
      </c>
      <c r="F120" s="1" t="str">
        <f t="shared" si="1"/>
        <v>승</v>
      </c>
    </row>
    <row r="121" spans="1:6" x14ac:dyDescent="0.3">
      <c r="A121" s="6">
        <v>43558</v>
      </c>
      <c r="B121" s="1" t="s">
        <v>263</v>
      </c>
      <c r="C121" s="1">
        <v>0</v>
      </c>
      <c r="D121" s="1" t="s">
        <v>261</v>
      </c>
      <c r="E121" s="1">
        <v>3</v>
      </c>
      <c r="F121" s="1" t="str">
        <f t="shared" si="1"/>
        <v>패</v>
      </c>
    </row>
    <row r="122" spans="1:6" x14ac:dyDescent="0.3">
      <c r="A122" s="6"/>
    </row>
    <row r="123" spans="1:6" x14ac:dyDescent="0.3">
      <c r="A123" s="6"/>
    </row>
    <row r="124" spans="1:6" x14ac:dyDescent="0.3">
      <c r="A124" s="6"/>
    </row>
    <row r="125" spans="1:6" x14ac:dyDescent="0.3">
      <c r="A125" s="6"/>
    </row>
    <row r="126" spans="1:6" x14ac:dyDescent="0.3">
      <c r="A126" s="6"/>
    </row>
    <row r="127" spans="1:6" x14ac:dyDescent="0.3">
      <c r="A127" s="6"/>
    </row>
    <row r="128" spans="1:6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</sheetData>
  <phoneticPr fontId="3" type="noConversion"/>
  <conditionalFormatting sqref="A1:F1048576">
    <cfRule type="expression" dxfId="32" priority="1">
      <formula>A1&lt;&gt;""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9"/>
  <sheetViews>
    <sheetView showGridLines="0" topLeftCell="A2" workbookViewId="0">
      <selection activeCell="F33" sqref="F32:F33"/>
    </sheetView>
  </sheetViews>
  <sheetFormatPr defaultRowHeight="16.5" x14ac:dyDescent="0.3"/>
  <cols>
    <col min="1" max="2" width="11.125" style="1" bestFit="1" customWidth="1"/>
    <col min="3" max="3" width="10.25" style="1" customWidth="1"/>
    <col min="4" max="4" width="9" style="1"/>
    <col min="5" max="5" width="24.875" style="1" bestFit="1" customWidth="1"/>
    <col min="6" max="6" width="11" style="1" bestFit="1" customWidth="1"/>
    <col min="7" max="10" width="9" style="1"/>
    <col min="11" max="11" width="10.625" style="2" customWidth="1"/>
    <col min="12" max="12" width="9" style="8"/>
  </cols>
  <sheetData>
    <row r="1" spans="1:12" x14ac:dyDescent="0.3">
      <c r="A1" s="3" t="s">
        <v>269</v>
      </c>
      <c r="B1" s="4" t="s">
        <v>248</v>
      </c>
      <c r="C1" s="4" t="s">
        <v>251</v>
      </c>
      <c r="D1" s="4" t="s">
        <v>270</v>
      </c>
      <c r="E1" s="4" t="s">
        <v>0</v>
      </c>
      <c r="F1" s="4" t="s">
        <v>271</v>
      </c>
      <c r="G1" s="4" t="s">
        <v>32</v>
      </c>
      <c r="H1" s="4" t="s">
        <v>34</v>
      </c>
      <c r="I1" s="4" t="s">
        <v>36</v>
      </c>
      <c r="J1" s="4" t="s">
        <v>38</v>
      </c>
      <c r="K1" s="7" t="s">
        <v>272</v>
      </c>
      <c r="L1" s="8" t="s">
        <v>273</v>
      </c>
    </row>
    <row r="2" spans="1:12" x14ac:dyDescent="0.3">
      <c r="A2" s="6">
        <v>43514</v>
      </c>
      <c r="B2" s="6">
        <v>43518</v>
      </c>
      <c r="C2" s="1" t="s">
        <v>260</v>
      </c>
      <c r="D2" s="1" t="s">
        <v>59</v>
      </c>
      <c r="E2" s="1" t="s">
        <v>26</v>
      </c>
      <c r="F2" s="1" t="s">
        <v>2</v>
      </c>
      <c r="G2" s="1">
        <v>2</v>
      </c>
      <c r="H2" s="1">
        <v>1</v>
      </c>
      <c r="I2" s="1">
        <v>1</v>
      </c>
      <c r="J2" s="1">
        <v>1</v>
      </c>
      <c r="K2" s="2" cm="1">
        <f t="array" ref="K2">fn금액(F2,G2,H2,I2,J2)</f>
        <v>205000</v>
      </c>
      <c r="L2" s="8">
        <f>SUM(G2:J2)</f>
        <v>5</v>
      </c>
    </row>
    <row r="3" spans="1:12" x14ac:dyDescent="0.3">
      <c r="A3" s="6">
        <v>43516</v>
      </c>
      <c r="B3" s="6">
        <v>43518</v>
      </c>
      <c r="C3" s="1" t="s">
        <v>260</v>
      </c>
      <c r="D3" s="1" t="s">
        <v>54</v>
      </c>
      <c r="E3" s="1" t="s">
        <v>26</v>
      </c>
      <c r="F3" s="1" t="s">
        <v>2</v>
      </c>
      <c r="G3" s="1">
        <v>3</v>
      </c>
      <c r="H3" s="1">
        <v>2</v>
      </c>
      <c r="I3" s="1">
        <v>0</v>
      </c>
      <c r="J3" s="1">
        <v>2</v>
      </c>
      <c r="K3" s="2" cm="1">
        <f t="array" ref="K3">fn금액(F3,G3,H3,I3,J3)</f>
        <v>300000</v>
      </c>
      <c r="L3" s="8">
        <f t="shared" ref="L3:L37" si="0">SUM(G3:J3)</f>
        <v>7</v>
      </c>
    </row>
    <row r="4" spans="1:12" x14ac:dyDescent="0.3">
      <c r="A4" s="6">
        <v>43521</v>
      </c>
      <c r="B4" s="6">
        <v>43524</v>
      </c>
      <c r="C4" s="1" t="s">
        <v>255</v>
      </c>
      <c r="D4" s="1" t="s">
        <v>47</v>
      </c>
      <c r="E4" s="1" t="s">
        <v>20</v>
      </c>
      <c r="F4" s="1" t="s">
        <v>8</v>
      </c>
      <c r="G4" s="1">
        <v>3</v>
      </c>
      <c r="H4" s="1">
        <v>1</v>
      </c>
      <c r="I4" s="1">
        <v>3</v>
      </c>
      <c r="J4" s="1">
        <v>1</v>
      </c>
      <c r="K4" s="2" cm="1">
        <f t="array" ref="K4">fn금액(F4,G4,H4,I4,J4)</f>
        <v>21500</v>
      </c>
      <c r="L4" s="8">
        <f t="shared" si="0"/>
        <v>8</v>
      </c>
    </row>
    <row r="5" spans="1:12" x14ac:dyDescent="0.3">
      <c r="A5" s="6">
        <v>43525</v>
      </c>
      <c r="B5" s="6">
        <v>43533</v>
      </c>
      <c r="C5" s="1" t="s">
        <v>257</v>
      </c>
      <c r="D5" s="1" t="s">
        <v>243</v>
      </c>
      <c r="E5" s="1" t="s">
        <v>20</v>
      </c>
      <c r="F5" s="1" t="s">
        <v>6</v>
      </c>
      <c r="G5" s="1">
        <v>4</v>
      </c>
      <c r="H5" s="1">
        <v>0</v>
      </c>
      <c r="I5" s="1">
        <v>2</v>
      </c>
      <c r="J5" s="1">
        <v>2</v>
      </c>
      <c r="K5" s="2" cm="1">
        <f t="array" ref="K5">fn금액(F5,G5,H5,I5,J5)</f>
        <v>76000</v>
      </c>
      <c r="L5" s="8">
        <f t="shared" si="0"/>
        <v>8</v>
      </c>
    </row>
    <row r="6" spans="1:12" x14ac:dyDescent="0.3">
      <c r="A6" s="6">
        <v>43534</v>
      </c>
      <c r="B6" s="6">
        <v>43539</v>
      </c>
      <c r="C6" s="1" t="s">
        <v>260</v>
      </c>
      <c r="D6" s="1" t="s">
        <v>228</v>
      </c>
      <c r="E6" s="1" t="s">
        <v>28</v>
      </c>
      <c r="F6" s="1" t="s">
        <v>8</v>
      </c>
      <c r="G6" s="1">
        <v>6</v>
      </c>
      <c r="H6" s="1">
        <v>3</v>
      </c>
      <c r="I6" s="1">
        <v>1</v>
      </c>
      <c r="J6" s="1">
        <v>1</v>
      </c>
      <c r="K6" s="2" cm="1">
        <f t="array" ref="K6">fn금액(F6,G6,H6,I6,J6)</f>
        <v>40500</v>
      </c>
      <c r="L6" s="8">
        <f t="shared" si="0"/>
        <v>11</v>
      </c>
    </row>
    <row r="7" spans="1:12" x14ac:dyDescent="0.3">
      <c r="A7" s="6">
        <v>43536</v>
      </c>
      <c r="B7" s="6">
        <v>43539</v>
      </c>
      <c r="C7" s="1" t="s">
        <v>255</v>
      </c>
      <c r="D7" s="1" t="s">
        <v>233</v>
      </c>
      <c r="E7" s="1" t="s">
        <v>20</v>
      </c>
      <c r="F7" s="1" t="s">
        <v>6</v>
      </c>
      <c r="G7" s="1">
        <v>2</v>
      </c>
      <c r="H7" s="1">
        <v>3</v>
      </c>
      <c r="I7" s="1">
        <v>1</v>
      </c>
      <c r="J7" s="1">
        <v>1</v>
      </c>
      <c r="K7" s="2" cm="1">
        <f t="array" ref="K7">fn금액(F7,G7,H7,I7,J7)</f>
        <v>68000</v>
      </c>
      <c r="L7" s="8">
        <f t="shared" si="0"/>
        <v>7</v>
      </c>
    </row>
    <row r="8" spans="1:12" x14ac:dyDescent="0.3">
      <c r="A8" s="6">
        <v>43538</v>
      </c>
      <c r="B8" s="6">
        <v>43539</v>
      </c>
      <c r="C8" s="1" t="s">
        <v>255</v>
      </c>
      <c r="D8" s="1" t="s">
        <v>134</v>
      </c>
      <c r="E8" s="1" t="s">
        <v>20</v>
      </c>
      <c r="F8" s="1" t="s">
        <v>6</v>
      </c>
      <c r="G8" s="1">
        <v>1</v>
      </c>
      <c r="H8" s="1">
        <v>1</v>
      </c>
      <c r="I8" s="1">
        <v>1</v>
      </c>
      <c r="J8" s="1">
        <v>0</v>
      </c>
      <c r="K8" s="2" cm="1">
        <f t="array" ref="K8">fn금액(F8,G8,H8,I8,J8)</f>
        <v>30000</v>
      </c>
      <c r="L8" s="8">
        <f t="shared" si="0"/>
        <v>3</v>
      </c>
    </row>
    <row r="9" spans="1:12" x14ac:dyDescent="0.3">
      <c r="A9" s="6">
        <v>43538</v>
      </c>
      <c r="B9" s="6">
        <v>43543</v>
      </c>
      <c r="C9" s="1" t="s">
        <v>260</v>
      </c>
      <c r="D9" s="1" t="s">
        <v>79</v>
      </c>
      <c r="E9" s="1" t="s">
        <v>24</v>
      </c>
      <c r="F9" s="1" t="s">
        <v>8</v>
      </c>
      <c r="G9" s="1">
        <v>1</v>
      </c>
      <c r="H9" s="1">
        <v>2</v>
      </c>
      <c r="I9" s="1">
        <v>2</v>
      </c>
      <c r="J9" s="1">
        <v>1</v>
      </c>
      <c r="K9" s="2" cm="1">
        <f t="array" ref="K9">fn금액(F9,G9,H9,I9,J9)</f>
        <v>13500</v>
      </c>
      <c r="L9" s="8">
        <f t="shared" si="0"/>
        <v>6</v>
      </c>
    </row>
    <row r="10" spans="1:12" x14ac:dyDescent="0.3">
      <c r="A10" s="6">
        <v>43539</v>
      </c>
      <c r="B10" s="6">
        <v>43544</v>
      </c>
      <c r="C10" s="1" t="s">
        <v>260</v>
      </c>
      <c r="D10" s="1" t="s">
        <v>94</v>
      </c>
      <c r="E10" s="1" t="s">
        <v>18</v>
      </c>
      <c r="F10" s="1" t="s">
        <v>2</v>
      </c>
      <c r="G10" s="1">
        <v>0</v>
      </c>
      <c r="H10" s="1">
        <v>3</v>
      </c>
      <c r="I10" s="1">
        <v>1</v>
      </c>
      <c r="J10" s="1">
        <v>1</v>
      </c>
      <c r="K10" s="2" cm="1">
        <f t="array" ref="K10">fn금액(F10,G10,H10,I10,J10)</f>
        <v>195000</v>
      </c>
      <c r="L10" s="8">
        <f t="shared" si="0"/>
        <v>5</v>
      </c>
    </row>
    <row r="11" spans="1:12" x14ac:dyDescent="0.3">
      <c r="A11" s="6">
        <v>43539</v>
      </c>
      <c r="B11" s="6">
        <v>43544</v>
      </c>
      <c r="C11" s="1" t="s">
        <v>260</v>
      </c>
      <c r="D11" s="1" t="s">
        <v>124</v>
      </c>
      <c r="E11" s="1" t="s">
        <v>30</v>
      </c>
      <c r="F11" s="1" t="s">
        <v>8</v>
      </c>
      <c r="G11" s="1">
        <v>2</v>
      </c>
      <c r="H11" s="1">
        <v>1</v>
      </c>
      <c r="I11" s="1">
        <v>1</v>
      </c>
      <c r="J11" s="1">
        <v>1</v>
      </c>
      <c r="K11" s="2" cm="1">
        <f t="array" ref="K11">fn금액(F11,G11,H11,I11,J11)</f>
        <v>14500</v>
      </c>
      <c r="L11" s="8">
        <f t="shared" si="0"/>
        <v>5</v>
      </c>
    </row>
    <row r="12" spans="1:12" x14ac:dyDescent="0.3">
      <c r="A12" s="6">
        <v>43540</v>
      </c>
      <c r="B12" s="6">
        <v>43546</v>
      </c>
      <c r="C12" s="1" t="s">
        <v>260</v>
      </c>
      <c r="D12" s="1" t="s">
        <v>228</v>
      </c>
      <c r="E12" s="1" t="s">
        <v>28</v>
      </c>
      <c r="F12" s="1" t="s">
        <v>8</v>
      </c>
      <c r="G12" s="1">
        <v>2</v>
      </c>
      <c r="H12" s="1">
        <v>3</v>
      </c>
      <c r="I12" s="1">
        <v>2</v>
      </c>
      <c r="J12" s="1">
        <v>1</v>
      </c>
      <c r="K12" s="2" cm="1">
        <f t="array" ref="K12">fn금액(F12,G12,H12,I12,J12)</f>
        <v>21500</v>
      </c>
      <c r="L12" s="8">
        <f t="shared" si="0"/>
        <v>8</v>
      </c>
    </row>
    <row r="13" spans="1:12" x14ac:dyDescent="0.3">
      <c r="A13" s="6">
        <v>43540</v>
      </c>
      <c r="B13" s="6">
        <v>43546</v>
      </c>
      <c r="C13" s="1" t="s">
        <v>257</v>
      </c>
      <c r="D13" s="1" t="s">
        <v>104</v>
      </c>
      <c r="E13" s="1" t="s">
        <v>22</v>
      </c>
      <c r="F13" s="1" t="s">
        <v>2</v>
      </c>
      <c r="G13" s="1">
        <v>2</v>
      </c>
      <c r="H13" s="1">
        <v>3</v>
      </c>
      <c r="I13" s="1">
        <v>0</v>
      </c>
      <c r="J13" s="1">
        <v>1</v>
      </c>
      <c r="K13" s="2" cm="1">
        <f t="array" ref="K13">fn금액(F13,G13,H13,I13,J13)</f>
        <v>265000</v>
      </c>
      <c r="L13" s="8">
        <f t="shared" si="0"/>
        <v>6</v>
      </c>
    </row>
    <row r="14" spans="1:12" x14ac:dyDescent="0.3">
      <c r="A14" s="6">
        <v>43540</v>
      </c>
      <c r="B14" s="6">
        <v>43547</v>
      </c>
      <c r="C14" s="1" t="s">
        <v>260</v>
      </c>
      <c r="D14" s="1" t="s">
        <v>119</v>
      </c>
      <c r="E14" s="1" t="s">
        <v>18</v>
      </c>
      <c r="F14" s="1" t="s">
        <v>6</v>
      </c>
      <c r="G14" s="1">
        <v>3</v>
      </c>
      <c r="H14" s="1">
        <v>1</v>
      </c>
      <c r="I14" s="1">
        <v>2</v>
      </c>
      <c r="J14" s="1">
        <v>2</v>
      </c>
      <c r="K14" s="2" cm="1">
        <f t="array" ref="K14">fn금액(F14,G14,H14,I14,J14)</f>
        <v>71000</v>
      </c>
      <c r="L14" s="8">
        <f t="shared" si="0"/>
        <v>8</v>
      </c>
    </row>
    <row r="15" spans="1:12" x14ac:dyDescent="0.3">
      <c r="A15" s="6">
        <v>43540</v>
      </c>
      <c r="B15" s="6">
        <v>43547</v>
      </c>
      <c r="C15" s="1" t="s">
        <v>257</v>
      </c>
      <c r="D15" s="1" t="s">
        <v>79</v>
      </c>
      <c r="E15" s="1" t="s">
        <v>24</v>
      </c>
      <c r="F15" s="1" t="s">
        <v>4</v>
      </c>
      <c r="G15" s="1">
        <v>3</v>
      </c>
      <c r="H15" s="1">
        <v>1</v>
      </c>
      <c r="I15" s="1">
        <v>0</v>
      </c>
      <c r="J15" s="1">
        <v>2</v>
      </c>
      <c r="K15" s="2" cm="1">
        <f t="array" ref="K15">fn금액(F15,G15,H15,I15,J15)</f>
        <v>440000</v>
      </c>
      <c r="L15" s="8">
        <f t="shared" si="0"/>
        <v>6</v>
      </c>
    </row>
    <row r="16" spans="1:12" x14ac:dyDescent="0.3">
      <c r="A16" s="6">
        <v>43541</v>
      </c>
      <c r="B16" s="6">
        <v>43547</v>
      </c>
      <c r="C16" s="1" t="s">
        <v>255</v>
      </c>
      <c r="D16" s="1" t="s">
        <v>84</v>
      </c>
      <c r="E16" s="1" t="s">
        <v>24</v>
      </c>
      <c r="F16" s="1" t="s">
        <v>2</v>
      </c>
      <c r="G16" s="1">
        <v>0</v>
      </c>
      <c r="H16" s="1">
        <v>2</v>
      </c>
      <c r="I16" s="1">
        <v>1</v>
      </c>
      <c r="J16" s="1">
        <v>1</v>
      </c>
      <c r="K16" s="2" cm="1">
        <f t="array" ref="K16">fn금액(F16,G16,H16,I16,J16)</f>
        <v>150000</v>
      </c>
      <c r="L16" s="8">
        <f t="shared" si="0"/>
        <v>4</v>
      </c>
    </row>
    <row r="17" spans="1:12" x14ac:dyDescent="0.3">
      <c r="A17" s="6">
        <v>43542</v>
      </c>
      <c r="B17" s="6">
        <v>43549</v>
      </c>
      <c r="C17" s="1" t="s">
        <v>257</v>
      </c>
      <c r="D17" s="1" t="s">
        <v>94</v>
      </c>
      <c r="E17" s="1" t="s">
        <v>18</v>
      </c>
      <c r="F17" s="1" t="s">
        <v>8</v>
      </c>
      <c r="G17" s="1">
        <v>1</v>
      </c>
      <c r="H17" s="1">
        <v>3</v>
      </c>
      <c r="I17" s="1">
        <v>0</v>
      </c>
      <c r="J17" s="1">
        <v>1</v>
      </c>
      <c r="K17" s="2" cm="1">
        <f t="array" ref="K17">fn금액(F17,G17,H17,I17,J17)</f>
        <v>14500</v>
      </c>
      <c r="L17" s="8">
        <f t="shared" si="0"/>
        <v>5</v>
      </c>
    </row>
    <row r="18" spans="1:12" x14ac:dyDescent="0.3">
      <c r="A18" s="6">
        <v>43542</v>
      </c>
      <c r="B18" s="6">
        <v>43549</v>
      </c>
      <c r="C18" s="1" t="s">
        <v>257</v>
      </c>
      <c r="D18" s="1" t="s">
        <v>119</v>
      </c>
      <c r="E18" s="1" t="s">
        <v>18</v>
      </c>
      <c r="F18" s="1" t="s">
        <v>6</v>
      </c>
      <c r="G18" s="1">
        <v>3</v>
      </c>
      <c r="H18" s="1">
        <v>1</v>
      </c>
      <c r="I18" s="1">
        <v>2</v>
      </c>
      <c r="J18" s="1">
        <v>2</v>
      </c>
      <c r="K18" s="2" cm="1">
        <f t="array" ref="K18">fn금액(F18,G18,H18,I18,J18)</f>
        <v>71000</v>
      </c>
      <c r="L18" s="8">
        <f t="shared" si="0"/>
        <v>8</v>
      </c>
    </row>
    <row r="19" spans="1:12" x14ac:dyDescent="0.3">
      <c r="A19" s="6">
        <v>43542</v>
      </c>
      <c r="B19" s="6">
        <v>43549</v>
      </c>
      <c r="C19" s="1" t="s">
        <v>257</v>
      </c>
      <c r="D19" s="1" t="s">
        <v>193</v>
      </c>
      <c r="E19" s="1" t="s">
        <v>18</v>
      </c>
      <c r="F19" s="1" t="s">
        <v>6</v>
      </c>
      <c r="G19" s="1">
        <v>0</v>
      </c>
      <c r="H19" s="1">
        <v>2</v>
      </c>
      <c r="I19" s="1">
        <v>2</v>
      </c>
      <c r="J19" s="1">
        <v>0</v>
      </c>
      <c r="K19" s="2" cm="1">
        <f t="array" ref="K19">fn금액(F19,G19,H19,I19,J19)</f>
        <v>30000</v>
      </c>
      <c r="L19" s="8">
        <f t="shared" si="0"/>
        <v>4</v>
      </c>
    </row>
    <row r="20" spans="1:12" x14ac:dyDescent="0.3">
      <c r="A20" s="6">
        <v>43542</v>
      </c>
      <c r="B20" s="6">
        <v>43549</v>
      </c>
      <c r="C20" s="1" t="s">
        <v>257</v>
      </c>
      <c r="D20" s="1" t="s">
        <v>233</v>
      </c>
      <c r="E20" s="1" t="s">
        <v>20</v>
      </c>
      <c r="F20" s="1" t="s">
        <v>2</v>
      </c>
      <c r="G20" s="1">
        <v>2</v>
      </c>
      <c r="H20" s="1">
        <v>0</v>
      </c>
      <c r="I20" s="1">
        <v>0</v>
      </c>
      <c r="J20" s="1">
        <v>1</v>
      </c>
      <c r="K20" s="2" cm="1">
        <f t="array" ref="K20">fn금액(F20,G20,H20,I20,J20)</f>
        <v>130000</v>
      </c>
      <c r="L20" s="8">
        <f t="shared" si="0"/>
        <v>3</v>
      </c>
    </row>
    <row r="21" spans="1:12" x14ac:dyDescent="0.3">
      <c r="A21" s="6">
        <v>43544</v>
      </c>
      <c r="B21" s="6">
        <v>43549</v>
      </c>
      <c r="C21" s="1" t="s">
        <v>257</v>
      </c>
      <c r="D21" s="1" t="s">
        <v>47</v>
      </c>
      <c r="E21" s="1" t="s">
        <v>20</v>
      </c>
      <c r="F21" s="1" t="s">
        <v>8</v>
      </c>
      <c r="G21" s="1">
        <v>0</v>
      </c>
      <c r="H21" s="1">
        <v>0</v>
      </c>
      <c r="I21" s="1">
        <v>1</v>
      </c>
      <c r="J21" s="1">
        <v>2</v>
      </c>
      <c r="K21" s="2" cm="1">
        <f t="array" ref="K21">fn금액(F21,G21,H21,I21,J21)</f>
        <v>2000</v>
      </c>
      <c r="L21" s="8">
        <f t="shared" si="0"/>
        <v>3</v>
      </c>
    </row>
    <row r="22" spans="1:12" x14ac:dyDescent="0.3">
      <c r="A22" s="6">
        <v>43545</v>
      </c>
      <c r="B22" s="6">
        <v>43552</v>
      </c>
      <c r="C22" s="1" t="s">
        <v>255</v>
      </c>
      <c r="D22" s="1" t="s">
        <v>84</v>
      </c>
      <c r="E22" s="1" t="s">
        <v>24</v>
      </c>
      <c r="F22" s="1" t="s">
        <v>8</v>
      </c>
      <c r="G22" s="1">
        <v>1</v>
      </c>
      <c r="H22" s="1">
        <v>3</v>
      </c>
      <c r="I22" s="1">
        <v>1</v>
      </c>
      <c r="J22" s="1">
        <v>2</v>
      </c>
      <c r="K22" s="2" cm="1">
        <f t="array" ref="K22">fn금액(F22,G22,H22,I22,J22)</f>
        <v>16000</v>
      </c>
      <c r="L22" s="8">
        <f t="shared" si="0"/>
        <v>7</v>
      </c>
    </row>
    <row r="23" spans="1:12" x14ac:dyDescent="0.3">
      <c r="A23" s="6">
        <v>43545</v>
      </c>
      <c r="B23" s="6">
        <v>43552</v>
      </c>
      <c r="C23" s="1" t="s">
        <v>260</v>
      </c>
      <c r="D23" s="1" t="s">
        <v>213</v>
      </c>
      <c r="E23" s="1" t="s">
        <v>26</v>
      </c>
      <c r="F23" s="1" t="s">
        <v>2</v>
      </c>
      <c r="G23" s="1">
        <v>0</v>
      </c>
      <c r="H23" s="1">
        <v>1</v>
      </c>
      <c r="I23" s="1">
        <v>0</v>
      </c>
      <c r="J23" s="1">
        <v>2</v>
      </c>
      <c r="K23" s="2" cm="1">
        <f t="array" ref="K23">fn금액(F23,G23,H23,I23,J23)</f>
        <v>105000</v>
      </c>
      <c r="L23" s="8">
        <f t="shared" si="0"/>
        <v>3</v>
      </c>
    </row>
    <row r="24" spans="1:12" x14ac:dyDescent="0.3">
      <c r="A24" s="6">
        <v>43545</v>
      </c>
      <c r="B24" s="6">
        <v>43552</v>
      </c>
      <c r="C24" s="1" t="s">
        <v>260</v>
      </c>
      <c r="D24" s="1" t="s">
        <v>154</v>
      </c>
      <c r="E24" s="1" t="s">
        <v>26</v>
      </c>
      <c r="F24" s="1" t="s">
        <v>6</v>
      </c>
      <c r="G24" s="1">
        <v>3</v>
      </c>
      <c r="H24" s="1">
        <v>2</v>
      </c>
      <c r="I24" s="1">
        <v>2</v>
      </c>
      <c r="J24" s="1">
        <v>1</v>
      </c>
      <c r="K24" s="2" cm="1">
        <f t="array" ref="K24">fn금액(F24,G24,H24,I24,J24)</f>
        <v>78000</v>
      </c>
      <c r="L24" s="8">
        <f t="shared" si="0"/>
        <v>8</v>
      </c>
    </row>
    <row r="25" spans="1:12" x14ac:dyDescent="0.3">
      <c r="A25" s="6">
        <v>43547</v>
      </c>
      <c r="B25" s="6">
        <v>43552</v>
      </c>
      <c r="C25" s="1" t="s">
        <v>257</v>
      </c>
      <c r="D25" s="1" t="s">
        <v>208</v>
      </c>
      <c r="E25" s="1" t="s">
        <v>30</v>
      </c>
      <c r="F25" s="1" t="s">
        <v>6</v>
      </c>
      <c r="G25" s="1">
        <v>0</v>
      </c>
      <c r="H25" s="1">
        <v>3</v>
      </c>
      <c r="I25" s="1">
        <v>2</v>
      </c>
      <c r="J25" s="1">
        <v>1</v>
      </c>
      <c r="K25" s="2" cm="1">
        <f t="array" ref="K25">fn금액(F25,G25,H25,I25,J25)</f>
        <v>43000</v>
      </c>
      <c r="L25" s="8">
        <f t="shared" si="0"/>
        <v>6</v>
      </c>
    </row>
    <row r="26" spans="1:12" x14ac:dyDescent="0.3">
      <c r="A26" s="6">
        <v>43547</v>
      </c>
      <c r="B26" s="6">
        <v>43553</v>
      </c>
      <c r="C26" s="1" t="s">
        <v>257</v>
      </c>
      <c r="D26" s="1" t="s">
        <v>99</v>
      </c>
      <c r="E26" s="1" t="s">
        <v>16</v>
      </c>
      <c r="F26" s="1" t="s">
        <v>8</v>
      </c>
      <c r="G26" s="1">
        <v>1</v>
      </c>
      <c r="H26" s="1">
        <v>1</v>
      </c>
      <c r="I26" s="1">
        <v>1</v>
      </c>
      <c r="J26" s="1">
        <v>1</v>
      </c>
      <c r="K26" s="2" cm="1">
        <f t="array" ref="K26">fn금액(F26,G26,H26,I26,J26)</f>
        <v>9500</v>
      </c>
      <c r="L26" s="8">
        <f t="shared" si="0"/>
        <v>4</v>
      </c>
    </row>
    <row r="27" spans="1:12" x14ac:dyDescent="0.3">
      <c r="A27" s="6">
        <v>43549</v>
      </c>
      <c r="B27" s="6">
        <v>43553</v>
      </c>
      <c r="C27" s="1" t="s">
        <v>257</v>
      </c>
      <c r="D27" s="1" t="s">
        <v>129</v>
      </c>
      <c r="E27" s="1" t="s">
        <v>16</v>
      </c>
      <c r="F27" s="1" t="s">
        <v>4</v>
      </c>
      <c r="G27" s="1">
        <v>0</v>
      </c>
      <c r="H27" s="1">
        <v>3</v>
      </c>
      <c r="I27" s="1">
        <v>2</v>
      </c>
      <c r="J27" s="1">
        <v>2</v>
      </c>
      <c r="K27" s="2" cm="1">
        <f t="array" ref="K27">fn금액(F27,G27,H27,I27,J27)</f>
        <v>400000</v>
      </c>
      <c r="L27" s="8">
        <f t="shared" si="0"/>
        <v>7</v>
      </c>
    </row>
    <row r="28" spans="1:12" x14ac:dyDescent="0.3">
      <c r="A28" s="6">
        <v>43550</v>
      </c>
      <c r="B28" s="6">
        <v>43554</v>
      </c>
      <c r="C28" s="1" t="s">
        <v>255</v>
      </c>
      <c r="D28" s="1" t="s">
        <v>154</v>
      </c>
      <c r="E28" s="1" t="s">
        <v>14</v>
      </c>
      <c r="F28" s="1" t="s">
        <v>8</v>
      </c>
      <c r="G28" s="1">
        <v>1</v>
      </c>
      <c r="H28" s="1">
        <v>2</v>
      </c>
      <c r="I28" s="1">
        <v>1</v>
      </c>
      <c r="J28" s="1">
        <v>1</v>
      </c>
      <c r="K28" s="2" cm="1">
        <f t="array" ref="K28">fn금액(F28,G28,H28,I28,J28)</f>
        <v>12500</v>
      </c>
      <c r="L28" s="8">
        <f t="shared" si="0"/>
        <v>5</v>
      </c>
    </row>
    <row r="29" spans="1:12" x14ac:dyDescent="0.3">
      <c r="A29" s="6">
        <v>43551</v>
      </c>
      <c r="B29" s="6">
        <v>43554</v>
      </c>
      <c r="C29" s="1" t="s">
        <v>255</v>
      </c>
      <c r="D29" s="1" t="s">
        <v>129</v>
      </c>
      <c r="E29" s="1" t="s">
        <v>14</v>
      </c>
      <c r="F29" s="1" t="s">
        <v>4</v>
      </c>
      <c r="G29" s="1">
        <v>0</v>
      </c>
      <c r="H29" s="1">
        <v>2</v>
      </c>
      <c r="I29" s="1">
        <v>1</v>
      </c>
      <c r="J29" s="1">
        <v>1</v>
      </c>
      <c r="K29" s="2" cm="1">
        <f t="array" ref="K29">fn금액(F29,G29,H29,I29,J29)</f>
        <v>240000</v>
      </c>
      <c r="L29" s="8">
        <f t="shared" si="0"/>
        <v>4</v>
      </c>
    </row>
    <row r="30" spans="1:12" x14ac:dyDescent="0.3">
      <c r="A30" s="6">
        <v>43551</v>
      </c>
      <c r="B30" s="6">
        <v>43554</v>
      </c>
      <c r="C30" s="1" t="s">
        <v>255</v>
      </c>
      <c r="D30" s="1" t="s">
        <v>208</v>
      </c>
      <c r="E30" s="1" t="s">
        <v>28</v>
      </c>
      <c r="F30" s="1" t="s">
        <v>2</v>
      </c>
      <c r="G30" s="1">
        <v>1</v>
      </c>
      <c r="H30" s="1">
        <v>2</v>
      </c>
      <c r="I30" s="1">
        <v>0</v>
      </c>
      <c r="J30" s="1">
        <v>1</v>
      </c>
      <c r="K30" s="2" cm="1">
        <f t="array" ref="K30">fn금액(F30,G30,H30,I30,J30)</f>
        <v>170000</v>
      </c>
      <c r="L30" s="8">
        <f t="shared" si="0"/>
        <v>4</v>
      </c>
    </row>
    <row r="31" spans="1:12" x14ac:dyDescent="0.3">
      <c r="A31" s="6">
        <v>43550</v>
      </c>
      <c r="B31" s="6">
        <v>43555</v>
      </c>
      <c r="C31" s="1" t="s">
        <v>255</v>
      </c>
      <c r="D31" s="1" t="s">
        <v>134</v>
      </c>
      <c r="E31" s="1" t="s">
        <v>20</v>
      </c>
      <c r="F31" s="1" t="s">
        <v>6</v>
      </c>
      <c r="G31" s="1">
        <v>0</v>
      </c>
      <c r="H31" s="1">
        <v>0</v>
      </c>
      <c r="I31" s="1">
        <v>0</v>
      </c>
      <c r="J31" s="1">
        <v>2</v>
      </c>
      <c r="K31" s="2" cm="1">
        <f t="array" ref="K31">fn금액(F31,G31,H31,I31,J31)</f>
        <v>6000</v>
      </c>
      <c r="L31" s="8">
        <f t="shared" si="0"/>
        <v>2</v>
      </c>
    </row>
    <row r="32" spans="1:12" x14ac:dyDescent="0.3">
      <c r="A32" s="6">
        <v>43550</v>
      </c>
      <c r="B32" s="6">
        <v>43555</v>
      </c>
      <c r="C32" s="1" t="s">
        <v>255</v>
      </c>
      <c r="D32" s="1" t="s">
        <v>124</v>
      </c>
      <c r="E32" s="1" t="s">
        <v>30</v>
      </c>
      <c r="F32" s="1" t="s">
        <v>8</v>
      </c>
      <c r="G32" s="1">
        <v>3</v>
      </c>
      <c r="H32" s="1">
        <v>0</v>
      </c>
      <c r="I32" s="1">
        <v>1</v>
      </c>
      <c r="J32" s="1">
        <v>1</v>
      </c>
      <c r="K32" s="2" cm="1">
        <f t="array" ref="K32">fn금액(F32,G32,H32,I32,J32)</f>
        <v>16500</v>
      </c>
      <c r="L32" s="8">
        <f t="shared" si="0"/>
        <v>5</v>
      </c>
    </row>
    <row r="33" spans="1:12" x14ac:dyDescent="0.3">
      <c r="A33" s="6">
        <v>43552</v>
      </c>
      <c r="B33" s="6">
        <v>43555</v>
      </c>
      <c r="C33" s="1" t="s">
        <v>255</v>
      </c>
      <c r="D33" s="1" t="s">
        <v>144</v>
      </c>
      <c r="E33" s="1" t="s">
        <v>30</v>
      </c>
      <c r="F33" s="1" t="s">
        <v>8</v>
      </c>
      <c r="G33" s="1">
        <v>2</v>
      </c>
      <c r="H33" s="1">
        <v>1</v>
      </c>
      <c r="I33" s="1">
        <v>1</v>
      </c>
      <c r="J33" s="1">
        <v>1</v>
      </c>
      <c r="K33" s="2" cm="1">
        <f t="array" ref="K33">fn금액(F33,G33,H33,I33,J33)</f>
        <v>14500</v>
      </c>
      <c r="L33" s="8">
        <f t="shared" si="0"/>
        <v>5</v>
      </c>
    </row>
    <row r="34" spans="1:12" x14ac:dyDescent="0.3">
      <c r="A34" s="6">
        <v>43552</v>
      </c>
      <c r="B34" s="6">
        <v>43559</v>
      </c>
      <c r="C34" s="1" t="s">
        <v>255</v>
      </c>
      <c r="D34" s="1" t="s">
        <v>129</v>
      </c>
      <c r="E34" s="1" t="s">
        <v>14</v>
      </c>
      <c r="F34" s="1" t="s">
        <v>2</v>
      </c>
      <c r="G34" s="1">
        <v>0</v>
      </c>
      <c r="H34" s="1">
        <v>0</v>
      </c>
      <c r="I34" s="1">
        <v>2</v>
      </c>
      <c r="J34" s="1">
        <v>2</v>
      </c>
      <c r="K34" s="2" cm="1">
        <f t="array" ref="K34">fn금액(F34,G34,H34,I34,J34)</f>
        <v>120000</v>
      </c>
      <c r="L34" s="8">
        <f t="shared" si="0"/>
        <v>4</v>
      </c>
    </row>
    <row r="35" spans="1:12" x14ac:dyDescent="0.3">
      <c r="A35" s="6">
        <v>43552</v>
      </c>
      <c r="B35" s="6">
        <v>43560</v>
      </c>
      <c r="C35" s="1" t="s">
        <v>255</v>
      </c>
      <c r="D35" s="1" t="s">
        <v>193</v>
      </c>
      <c r="E35" s="1" t="s">
        <v>18</v>
      </c>
      <c r="F35" s="1" t="s">
        <v>4</v>
      </c>
      <c r="G35" s="1">
        <v>1</v>
      </c>
      <c r="H35" s="1">
        <v>0</v>
      </c>
      <c r="I35" s="1">
        <v>2</v>
      </c>
      <c r="J35" s="1">
        <v>2</v>
      </c>
      <c r="K35" s="2" cm="1">
        <f t="array" ref="K35">fn금액(F35,G35,H35,I35,J35)</f>
        <v>260000</v>
      </c>
      <c r="L35" s="8">
        <f t="shared" si="0"/>
        <v>5</v>
      </c>
    </row>
    <row r="36" spans="1:12" x14ac:dyDescent="0.3">
      <c r="A36" s="6">
        <v>43556</v>
      </c>
      <c r="B36" s="6">
        <v>43560</v>
      </c>
      <c r="C36" s="1" t="s">
        <v>255</v>
      </c>
      <c r="D36" s="1" t="s">
        <v>119</v>
      </c>
      <c r="E36" s="1" t="s">
        <v>18</v>
      </c>
      <c r="F36" s="1" t="s">
        <v>8</v>
      </c>
      <c r="G36" s="1">
        <v>1</v>
      </c>
      <c r="H36" s="1">
        <v>3</v>
      </c>
      <c r="I36" s="1">
        <v>0</v>
      </c>
      <c r="J36" s="1">
        <v>0</v>
      </c>
      <c r="K36" s="2" cm="1">
        <f t="array" ref="K36">fn금액(F36,G36,H36,I36,J36)</f>
        <v>14000</v>
      </c>
      <c r="L36" s="8">
        <f t="shared" si="0"/>
        <v>4</v>
      </c>
    </row>
    <row r="37" spans="1:12" x14ac:dyDescent="0.3">
      <c r="A37" s="6">
        <v>43558</v>
      </c>
      <c r="B37" s="6">
        <v>43560</v>
      </c>
      <c r="C37" s="1" t="s">
        <v>257</v>
      </c>
      <c r="D37" s="1" t="s">
        <v>99</v>
      </c>
      <c r="E37" s="1" t="s">
        <v>28</v>
      </c>
      <c r="F37" s="1" t="s">
        <v>6</v>
      </c>
      <c r="G37" s="1">
        <v>1</v>
      </c>
      <c r="H37" s="1">
        <v>3</v>
      </c>
      <c r="I37" s="1">
        <v>2</v>
      </c>
      <c r="J37" s="1">
        <v>2</v>
      </c>
      <c r="K37" s="2" cm="1">
        <f t="array" ref="K37">fn금액(F37,G37,H37,I37,J37)</f>
        <v>61000</v>
      </c>
      <c r="L37" s="8">
        <f t="shared" si="0"/>
        <v>8</v>
      </c>
    </row>
    <row r="38" spans="1:12" x14ac:dyDescent="0.3">
      <c r="A38" s="6"/>
      <c r="B38" s="6"/>
      <c r="K38" s="26"/>
      <c r="L38" s="27"/>
    </row>
    <row r="39" spans="1:12" x14ac:dyDescent="0.3">
      <c r="A39" s="6"/>
      <c r="B39" s="6"/>
      <c r="K39" s="26"/>
      <c r="L39" s="27"/>
    </row>
  </sheetData>
  <phoneticPr fontId="3" type="noConversion"/>
  <conditionalFormatting sqref="A1:K1048576">
    <cfRule type="expression" dxfId="23" priority="1">
      <formula>A1&lt;&gt;""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11</xdr:col>
                <xdr:colOff>552450</xdr:colOff>
                <xdr:row>3</xdr:row>
                <xdr:rowOff>0</xdr:rowOff>
              </from>
              <to>
                <xdr:col>14</xdr:col>
                <xdr:colOff>28575</xdr:colOff>
                <xdr:row>5</xdr:row>
                <xdr:rowOff>19050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77"/>
  <sheetViews>
    <sheetView showGridLines="0" workbookViewId="0"/>
  </sheetViews>
  <sheetFormatPr defaultRowHeight="16.5" x14ac:dyDescent="0.3"/>
  <cols>
    <col min="1" max="1" width="9" style="1"/>
    <col min="2" max="2" width="13.75" style="1" bestFit="1" customWidth="1"/>
    <col min="3" max="5" width="9" style="1"/>
    <col min="6" max="6" width="9" style="9"/>
    <col min="10" max="10" width="13.75" bestFit="1" customWidth="1"/>
    <col min="11" max="11" width="9.5" bestFit="1" customWidth="1"/>
  </cols>
  <sheetData>
    <row r="1" spans="1:18" x14ac:dyDescent="0.3">
      <c r="A1" s="12" t="s">
        <v>296</v>
      </c>
      <c r="B1" s="13" t="s">
        <v>275</v>
      </c>
      <c r="C1" s="13" t="s">
        <v>276</v>
      </c>
      <c r="D1" s="13" t="s">
        <v>277</v>
      </c>
      <c r="E1" s="13" t="s">
        <v>278</v>
      </c>
      <c r="F1" s="14" t="s">
        <v>279</v>
      </c>
      <c r="J1" s="28"/>
      <c r="K1" s="28"/>
      <c r="L1" s="28"/>
      <c r="M1" s="28"/>
      <c r="N1" s="28"/>
    </row>
    <row r="2" spans="1:18" x14ac:dyDescent="0.3">
      <c r="A2" s="10" t="s">
        <v>293</v>
      </c>
      <c r="B2" s="10" t="str">
        <f>J6</f>
        <v>넥센 히어로즈</v>
      </c>
      <c r="C2" s="10">
        <v>89</v>
      </c>
      <c r="D2" s="10">
        <f t="shared" ref="D2:D11" si="0">L6</f>
        <v>0</v>
      </c>
      <c r="E2" s="10">
        <v>0</v>
      </c>
      <c r="F2" s="9">
        <f t="shared" ref="F2:F11" si="1">N6</f>
        <v>1</v>
      </c>
      <c r="J2" s="28"/>
      <c r="K2" s="28"/>
      <c r="L2" s="28"/>
      <c r="M2" s="28"/>
      <c r="N2" s="28"/>
    </row>
    <row r="3" spans="1:18" x14ac:dyDescent="0.3">
      <c r="A3" s="10" t="s">
        <v>333</v>
      </c>
      <c r="B3" s="10" t="str">
        <f t="shared" ref="B3:B11" si="2">J7</f>
        <v>한화 이글스</v>
      </c>
      <c r="C3" s="10">
        <f t="shared" ref="C3:E11" si="3">K7</f>
        <v>25456465</v>
      </c>
      <c r="D3" s="10">
        <f t="shared" si="0"/>
        <v>96542</v>
      </c>
      <c r="E3" s="10">
        <v>0</v>
      </c>
      <c r="F3" s="11">
        <f t="shared" si="1"/>
        <v>0.99622189278936912</v>
      </c>
      <c r="J3" s="28"/>
      <c r="K3" s="28"/>
      <c r="L3" s="28"/>
      <c r="M3" s="28"/>
      <c r="N3" s="28"/>
    </row>
    <row r="4" spans="1:18" x14ac:dyDescent="0.3">
      <c r="A4" s="10" t="s">
        <v>294</v>
      </c>
      <c r="B4" s="10" t="str">
        <f t="shared" si="2"/>
        <v>SK 와이번스</v>
      </c>
      <c r="C4" s="10">
        <f t="shared" si="3"/>
        <v>7</v>
      </c>
      <c r="D4" s="10">
        <f t="shared" si="0"/>
        <v>0</v>
      </c>
      <c r="E4" s="10">
        <f t="shared" si="3"/>
        <v>2</v>
      </c>
      <c r="F4" s="11">
        <f t="shared" si="1"/>
        <v>0.77777777777777779</v>
      </c>
      <c r="J4" s="28"/>
      <c r="K4" s="28"/>
      <c r="L4" s="28"/>
      <c r="M4" s="28"/>
      <c r="N4" s="28"/>
      <c r="O4" s="28"/>
      <c r="P4" s="28"/>
      <c r="Q4" s="28"/>
      <c r="R4" s="28"/>
    </row>
    <row r="5" spans="1:18" x14ac:dyDescent="0.3">
      <c r="A5" s="10" t="s">
        <v>290</v>
      </c>
      <c r="B5" s="10" t="str">
        <f t="shared" si="2"/>
        <v>두산 베어스</v>
      </c>
      <c r="C5" s="10">
        <f t="shared" si="3"/>
        <v>11</v>
      </c>
      <c r="D5" s="10">
        <f t="shared" si="0"/>
        <v>0</v>
      </c>
      <c r="E5" s="10">
        <f t="shared" si="3"/>
        <v>8</v>
      </c>
      <c r="F5" s="11">
        <f t="shared" si="1"/>
        <v>0.57894736842105265</v>
      </c>
      <c r="J5" s="28" t="s">
        <v>275</v>
      </c>
      <c r="K5" s="28" t="s">
        <v>276</v>
      </c>
      <c r="L5" s="28" t="s">
        <v>277</v>
      </c>
      <c r="M5" s="28" t="s">
        <v>278</v>
      </c>
      <c r="N5" s="28" t="s">
        <v>279</v>
      </c>
      <c r="O5" s="28"/>
      <c r="P5" s="28"/>
      <c r="Q5" s="28"/>
      <c r="R5" s="28"/>
    </row>
    <row r="6" spans="1:18" x14ac:dyDescent="0.3">
      <c r="A6" s="10" t="s">
        <v>291</v>
      </c>
      <c r="B6" s="10" t="str">
        <f t="shared" si="2"/>
        <v>삼성 라이온즈</v>
      </c>
      <c r="C6" s="10">
        <f t="shared" si="3"/>
        <v>12</v>
      </c>
      <c r="D6" s="10">
        <f t="shared" si="0"/>
        <v>3</v>
      </c>
      <c r="E6" s="10">
        <f t="shared" si="3"/>
        <v>7</v>
      </c>
      <c r="F6" s="11">
        <f t="shared" si="1"/>
        <v>0.54545454545454541</v>
      </c>
      <c r="J6" s="28" t="s">
        <v>289</v>
      </c>
      <c r="K6" s="28">
        <v>52</v>
      </c>
      <c r="L6" s="28">
        <v>0</v>
      </c>
      <c r="M6" s="28">
        <v>0</v>
      </c>
      <c r="N6" s="28">
        <f t="shared" ref="N6:N15" si="4">K6/SUM(K6:M6)</f>
        <v>1</v>
      </c>
      <c r="O6" s="28"/>
      <c r="P6" s="28"/>
      <c r="Q6" s="28"/>
      <c r="R6" s="28"/>
    </row>
    <row r="7" spans="1:18" x14ac:dyDescent="0.3">
      <c r="A7" s="10" t="s">
        <v>292</v>
      </c>
      <c r="B7" s="10" t="str">
        <f t="shared" si="2"/>
        <v>롯데 자이언츠</v>
      </c>
      <c r="C7" s="10">
        <f t="shared" si="3"/>
        <v>15</v>
      </c>
      <c r="D7" s="10">
        <f t="shared" si="0"/>
        <v>10</v>
      </c>
      <c r="E7" s="10">
        <f t="shared" si="3"/>
        <v>4</v>
      </c>
      <c r="F7" s="11">
        <f t="shared" si="1"/>
        <v>0.51724137931034486</v>
      </c>
      <c r="J7" s="28" t="s">
        <v>287</v>
      </c>
      <c r="K7" s="28">
        <v>25456465</v>
      </c>
      <c r="L7" s="28">
        <v>96542</v>
      </c>
      <c r="M7" s="28">
        <v>0</v>
      </c>
      <c r="N7" s="28">
        <f t="shared" si="4"/>
        <v>0.99622189278936912</v>
      </c>
      <c r="O7" s="28"/>
      <c r="P7" s="28"/>
      <c r="Q7" s="28"/>
      <c r="R7" s="28"/>
    </row>
    <row r="8" spans="1:18" x14ac:dyDescent="0.3">
      <c r="A8" s="10" t="s">
        <v>334</v>
      </c>
      <c r="B8" s="10" t="str">
        <f t="shared" si="2"/>
        <v>KT 위즈</v>
      </c>
      <c r="C8" s="10">
        <f t="shared" si="3"/>
        <v>11</v>
      </c>
      <c r="D8" s="10">
        <f t="shared" si="0"/>
        <v>8</v>
      </c>
      <c r="E8" s="10">
        <f t="shared" si="3"/>
        <v>3</v>
      </c>
      <c r="F8" s="11">
        <f t="shared" si="1"/>
        <v>0.5</v>
      </c>
      <c r="J8" s="28" t="s">
        <v>284</v>
      </c>
      <c r="K8" s="28">
        <f t="array" ref="K8">SUM(($J8=표2[홈팀])*("승"=표2[승패])*1) +SUM(($J8=표2[원정팀])*("패"=표2[승패])*1)</f>
        <v>7</v>
      </c>
      <c r="L8" s="28">
        <v>0</v>
      </c>
      <c r="M8" s="28">
        <f t="array" ref="M8">SUM(($J8=표2[홈팀])*("무승부"=표2[승패])*1) +SUM(($J8=표2[원정팀])*("무승부"=표2[승패])*1)</f>
        <v>2</v>
      </c>
      <c r="N8" s="28">
        <f t="shared" si="4"/>
        <v>0.77777777777777779</v>
      </c>
      <c r="O8" s="28"/>
      <c r="P8" s="28"/>
      <c r="Q8" s="28"/>
      <c r="R8" s="28"/>
    </row>
    <row r="9" spans="1:18" x14ac:dyDescent="0.3">
      <c r="A9" s="10" t="s">
        <v>295</v>
      </c>
      <c r="B9" s="10" t="str">
        <f t="shared" si="2"/>
        <v>NC 다이노스</v>
      </c>
      <c r="C9" s="10">
        <f t="shared" si="3"/>
        <v>10</v>
      </c>
      <c r="D9" s="10">
        <f t="shared" si="0"/>
        <v>3</v>
      </c>
      <c r="E9" s="10">
        <f t="shared" si="3"/>
        <v>8</v>
      </c>
      <c r="F9" s="11">
        <f t="shared" si="1"/>
        <v>0.47619047619047616</v>
      </c>
      <c r="J9" s="28" t="s">
        <v>283</v>
      </c>
      <c r="K9" s="28">
        <f t="array" ref="K9">SUM(($J9=표2[홈팀])*("승"=표2[승패])*1) +SUM(($J9=표2[원정팀])*("패"=표2[승패])*1)</f>
        <v>11</v>
      </c>
      <c r="L9" s="28">
        <v>0</v>
      </c>
      <c r="M9" s="28">
        <v>8</v>
      </c>
      <c r="N9" s="28">
        <f t="shared" si="4"/>
        <v>0.57894736842105265</v>
      </c>
      <c r="O9" s="28"/>
      <c r="P9" s="28"/>
      <c r="Q9" s="28"/>
      <c r="R9" s="28"/>
    </row>
    <row r="10" spans="1:18" x14ac:dyDescent="0.3">
      <c r="A10" s="10" t="s">
        <v>335</v>
      </c>
      <c r="B10" s="10" t="str">
        <f t="shared" si="2"/>
        <v>LG 트윈스</v>
      </c>
      <c r="C10" s="10">
        <f t="shared" si="3"/>
        <v>6</v>
      </c>
      <c r="D10" s="10">
        <f t="shared" si="0"/>
        <v>4</v>
      </c>
      <c r="E10" s="10">
        <f t="shared" si="3"/>
        <v>4</v>
      </c>
      <c r="F10" s="11">
        <f t="shared" si="1"/>
        <v>0.42857142857142855</v>
      </c>
      <c r="J10" s="28" t="s">
        <v>288</v>
      </c>
      <c r="K10" s="28">
        <v>12</v>
      </c>
      <c r="L10" s="28">
        <v>3</v>
      </c>
      <c r="M10" s="28">
        <v>7</v>
      </c>
      <c r="N10" s="28">
        <f t="shared" si="4"/>
        <v>0.54545454545454541</v>
      </c>
      <c r="O10" s="28"/>
      <c r="P10" s="28"/>
      <c r="Q10" s="28"/>
      <c r="R10" s="28"/>
    </row>
    <row r="11" spans="1:18" x14ac:dyDescent="0.3">
      <c r="A11" s="10" t="s">
        <v>336</v>
      </c>
      <c r="B11" s="10" t="str">
        <f t="shared" si="2"/>
        <v>KIA 타이거즈</v>
      </c>
      <c r="C11" s="10">
        <f t="shared" si="3"/>
        <v>20</v>
      </c>
      <c r="D11" s="10">
        <f t="shared" si="0"/>
        <v>45</v>
      </c>
      <c r="E11" s="10">
        <f t="shared" si="3"/>
        <v>2</v>
      </c>
      <c r="F11" s="11">
        <f t="shared" si="1"/>
        <v>0.29850746268656714</v>
      </c>
      <c r="J11" s="28" t="s">
        <v>285</v>
      </c>
      <c r="K11" s="28">
        <v>15</v>
      </c>
      <c r="L11" s="28">
        <v>10</v>
      </c>
      <c r="M11" s="28">
        <v>4</v>
      </c>
      <c r="N11" s="28">
        <f t="shared" si="4"/>
        <v>0.51724137931034486</v>
      </c>
      <c r="O11" s="28"/>
      <c r="P11" s="28"/>
      <c r="Q11" s="28"/>
      <c r="R11" s="28"/>
    </row>
    <row r="12" spans="1:18" x14ac:dyDescent="0.3">
      <c r="J12" s="28" t="s">
        <v>282</v>
      </c>
      <c r="K12" s="28">
        <f t="array" ref="K12">SUM(($J12=표2[홈팀])*("승"=표2[승패])*1) +SUM(($J12=표2[원정팀])*("패"=표2[승패])*1)</f>
        <v>11</v>
      </c>
      <c r="L12" s="28">
        <v>8</v>
      </c>
      <c r="M12" s="28">
        <f t="array" ref="M12">SUM(($J12=표2[홈팀])*("무승부"=표2[승패])*1) +SUM(($J12=표2[원정팀])*("무승부"=표2[승패])*1)</f>
        <v>3</v>
      </c>
      <c r="N12" s="28">
        <f t="shared" si="4"/>
        <v>0.5</v>
      </c>
      <c r="O12" s="28"/>
      <c r="P12" s="28"/>
      <c r="Q12" s="28"/>
      <c r="R12" s="28"/>
    </row>
    <row r="13" spans="1:18" x14ac:dyDescent="0.3">
      <c r="J13" s="28" t="s">
        <v>286</v>
      </c>
      <c r="K13" s="28">
        <f t="array" ref="K13">SUM(($J13=표2[홈팀])*("승"=표2[승패])*1) +SUM(($J13=표2[원정팀])*("패"=표2[승패])*1)</f>
        <v>10</v>
      </c>
      <c r="L13" s="28">
        <v>3</v>
      </c>
      <c r="M13" s="28">
        <f t="array" ref="M13">SUM(($J13=표2[홈팀])*("무승부"=표2[승패])*1) +SUM(($J13=표2[원정팀])*("무승부"=표2[승패])*1)</f>
        <v>8</v>
      </c>
      <c r="N13" s="28">
        <f t="shared" si="4"/>
        <v>0.47619047619047616</v>
      </c>
      <c r="O13" s="28"/>
      <c r="P13" s="28"/>
      <c r="Q13" s="28"/>
      <c r="R13" s="28"/>
    </row>
    <row r="14" spans="1:18" x14ac:dyDescent="0.3">
      <c r="J14" s="28" t="s">
        <v>280</v>
      </c>
      <c r="K14" s="28">
        <v>6</v>
      </c>
      <c r="L14" s="28">
        <v>4</v>
      </c>
      <c r="M14" s="28">
        <v>4</v>
      </c>
      <c r="N14" s="28">
        <f t="shared" si="4"/>
        <v>0.42857142857142855</v>
      </c>
      <c r="O14" s="28"/>
      <c r="P14" s="28"/>
      <c r="Q14" s="28"/>
      <c r="R14" s="28"/>
    </row>
    <row r="15" spans="1:18" x14ac:dyDescent="0.3">
      <c r="J15" s="28" t="s">
        <v>281</v>
      </c>
      <c r="K15" s="28">
        <v>20</v>
      </c>
      <c r="L15" s="28">
        <v>45</v>
      </c>
      <c r="M15" s="28">
        <f t="array" ref="M15">SUM(($J15=표2[홈팀])*("무승부"=표2[승패])*1) +SUM(($J15=표2[원정팀])*("무승부"=표2[승패])*1)</f>
        <v>2</v>
      </c>
      <c r="N15" s="28">
        <f t="shared" si="4"/>
        <v>0.29850746268656714</v>
      </c>
      <c r="O15" s="28"/>
      <c r="P15" s="28"/>
      <c r="Q15" s="28"/>
      <c r="R15" s="28"/>
    </row>
    <row r="16" spans="1:18" x14ac:dyDescent="0.3">
      <c r="J16" s="28"/>
      <c r="K16" s="28"/>
      <c r="L16" s="28"/>
      <c r="M16" s="28"/>
      <c r="N16" s="28"/>
      <c r="O16" s="28"/>
      <c r="P16" s="28"/>
      <c r="Q16" s="28"/>
      <c r="R16" s="28"/>
    </row>
    <row r="17" spans="10:18" x14ac:dyDescent="0.3">
      <c r="J17" s="28"/>
      <c r="K17" s="28"/>
      <c r="L17" s="28"/>
      <c r="M17" s="28"/>
      <c r="N17" s="28"/>
      <c r="O17" s="28"/>
      <c r="P17" s="28"/>
      <c r="Q17" s="28"/>
      <c r="R17" s="28"/>
    </row>
    <row r="18" spans="10:18" x14ac:dyDescent="0.3">
      <c r="J18" s="28"/>
      <c r="K18" s="28"/>
      <c r="L18" s="28"/>
      <c r="M18" s="28"/>
      <c r="N18" s="28"/>
      <c r="O18" s="28"/>
      <c r="P18" s="28"/>
      <c r="Q18" s="28"/>
      <c r="R18" s="28"/>
    </row>
    <row r="19" spans="10:18" x14ac:dyDescent="0.3">
      <c r="J19" s="28"/>
      <c r="K19" s="28"/>
      <c r="L19" s="28"/>
      <c r="M19" s="28"/>
      <c r="N19" s="28"/>
      <c r="O19" s="28"/>
      <c r="P19" s="28"/>
      <c r="Q19" s="28"/>
      <c r="R19" s="28"/>
    </row>
    <row r="20" spans="10:18" x14ac:dyDescent="0.3">
      <c r="J20" s="28"/>
      <c r="K20" s="28"/>
      <c r="L20" s="28"/>
      <c r="M20" s="28"/>
      <c r="N20" s="28"/>
      <c r="O20" s="28"/>
      <c r="P20" s="28"/>
      <c r="Q20" s="28"/>
      <c r="R20" s="28"/>
    </row>
    <row r="21" spans="10:18" x14ac:dyDescent="0.3">
      <c r="J21" s="28"/>
      <c r="K21" s="28"/>
      <c r="L21" s="28"/>
      <c r="M21" s="28"/>
      <c r="N21" s="28"/>
      <c r="O21" s="28"/>
      <c r="P21" s="28"/>
      <c r="Q21" s="28"/>
      <c r="R21" s="28"/>
    </row>
    <row r="22" spans="10:18" x14ac:dyDescent="0.3">
      <c r="J22" s="29"/>
      <c r="K22" s="28"/>
      <c r="L22" s="28"/>
      <c r="M22" s="28"/>
      <c r="N22" s="28"/>
      <c r="O22" s="28"/>
      <c r="P22" s="28"/>
      <c r="Q22" s="28"/>
      <c r="R22" s="28"/>
    </row>
    <row r="23" spans="10:18" x14ac:dyDescent="0.3">
      <c r="J23" s="28"/>
      <c r="K23" s="28"/>
      <c r="L23" s="28"/>
      <c r="M23" s="28"/>
      <c r="N23" s="28"/>
      <c r="O23" s="28"/>
      <c r="P23" s="28"/>
      <c r="Q23" s="28"/>
      <c r="R23" s="28"/>
    </row>
    <row r="24" spans="10:18" x14ac:dyDescent="0.3">
      <c r="J24" s="28"/>
      <c r="K24" s="28"/>
      <c r="L24" s="28"/>
      <c r="M24" s="28"/>
      <c r="N24" s="28"/>
      <c r="O24" s="28"/>
      <c r="P24" s="28"/>
      <c r="Q24" s="28"/>
      <c r="R24" s="28"/>
    </row>
    <row r="25" spans="10:18" x14ac:dyDescent="0.3">
      <c r="J25" s="28"/>
      <c r="K25" s="28"/>
      <c r="L25" s="28"/>
      <c r="M25" s="28"/>
      <c r="N25" s="28"/>
      <c r="O25" s="28"/>
      <c r="P25" s="28"/>
      <c r="Q25" s="28"/>
      <c r="R25" s="28"/>
    </row>
    <row r="26" spans="10:18" x14ac:dyDescent="0.3">
      <c r="J26" s="28"/>
      <c r="K26" s="28"/>
      <c r="L26" s="28"/>
      <c r="M26" s="28"/>
      <c r="N26" s="28"/>
      <c r="O26" s="28"/>
      <c r="P26" s="28"/>
      <c r="Q26" s="28"/>
      <c r="R26" s="28"/>
    </row>
    <row r="27" spans="10:18" x14ac:dyDescent="0.3">
      <c r="J27" s="28"/>
      <c r="K27" s="28"/>
      <c r="L27" s="28"/>
      <c r="M27" s="28"/>
      <c r="N27" s="28"/>
      <c r="O27" s="28"/>
      <c r="P27" s="28"/>
      <c r="Q27" s="28"/>
      <c r="R27" s="28"/>
    </row>
    <row r="28" spans="10:18" x14ac:dyDescent="0.3">
      <c r="J28" s="28"/>
      <c r="K28" s="28"/>
      <c r="L28" s="28"/>
      <c r="M28" s="28"/>
      <c r="N28" s="28"/>
      <c r="O28" s="28"/>
      <c r="P28" s="28"/>
      <c r="Q28" s="28"/>
      <c r="R28" s="28"/>
    </row>
    <row r="29" spans="10:18" x14ac:dyDescent="0.3">
      <c r="J29" s="28"/>
      <c r="K29" s="28"/>
      <c r="L29" s="28"/>
      <c r="M29" s="28"/>
      <c r="N29" s="28"/>
      <c r="O29" s="28"/>
      <c r="P29" s="28"/>
      <c r="Q29" s="28"/>
      <c r="R29" s="28"/>
    </row>
    <row r="30" spans="10:18" x14ac:dyDescent="0.3">
      <c r="K30" s="28"/>
      <c r="L30" s="28"/>
      <c r="M30" s="28"/>
      <c r="N30" s="28"/>
    </row>
    <row r="31" spans="10:18" x14ac:dyDescent="0.3">
      <c r="K31" s="28"/>
      <c r="L31" s="28"/>
      <c r="M31" s="28"/>
      <c r="N31" s="28"/>
    </row>
    <row r="32" spans="10:18" x14ac:dyDescent="0.3">
      <c r="N32" s="28"/>
    </row>
    <row r="33" spans="14:14" x14ac:dyDescent="0.3">
      <c r="N33" s="28"/>
    </row>
    <row r="34" spans="14:14" x14ac:dyDescent="0.3">
      <c r="N34" s="28"/>
    </row>
    <row r="35" spans="14:14" x14ac:dyDescent="0.3">
      <c r="N35" s="28"/>
    </row>
    <row r="36" spans="14:14" x14ac:dyDescent="0.3">
      <c r="N36" s="28"/>
    </row>
    <row r="37" spans="14:14" x14ac:dyDescent="0.3">
      <c r="N37" s="28"/>
    </row>
    <row r="38" spans="14:14" x14ac:dyDescent="0.3">
      <c r="N38" s="28"/>
    </row>
    <row r="39" spans="14:14" x14ac:dyDescent="0.3">
      <c r="N39" s="28"/>
    </row>
    <row r="40" spans="14:14" x14ac:dyDescent="0.3">
      <c r="N40" s="28"/>
    </row>
    <row r="41" spans="14:14" x14ac:dyDescent="0.3">
      <c r="N41" s="28"/>
    </row>
    <row r="42" spans="14:14" x14ac:dyDescent="0.3">
      <c r="N42" s="28"/>
    </row>
    <row r="43" spans="14:14" x14ac:dyDescent="0.3">
      <c r="N43" s="28"/>
    </row>
    <row r="44" spans="14:14" x14ac:dyDescent="0.3">
      <c r="N44" s="28"/>
    </row>
    <row r="45" spans="14:14" x14ac:dyDescent="0.3">
      <c r="N45" s="28"/>
    </row>
    <row r="46" spans="14:14" x14ac:dyDescent="0.3">
      <c r="N46" s="28"/>
    </row>
    <row r="47" spans="14:14" x14ac:dyDescent="0.3">
      <c r="N47" s="28"/>
    </row>
    <row r="48" spans="14:14" x14ac:dyDescent="0.3">
      <c r="N48" s="28"/>
    </row>
    <row r="49" spans="14:14" x14ac:dyDescent="0.3">
      <c r="N49" s="28"/>
    </row>
    <row r="50" spans="14:14" x14ac:dyDescent="0.3">
      <c r="N50" s="28"/>
    </row>
    <row r="51" spans="14:14" x14ac:dyDescent="0.3">
      <c r="N51" s="28"/>
    </row>
    <row r="52" spans="14:14" x14ac:dyDescent="0.3">
      <c r="N52" s="28"/>
    </row>
    <row r="53" spans="14:14" x14ac:dyDescent="0.3">
      <c r="N53" s="28"/>
    </row>
    <row r="54" spans="14:14" x14ac:dyDescent="0.3">
      <c r="N54" s="28"/>
    </row>
    <row r="55" spans="14:14" x14ac:dyDescent="0.3">
      <c r="N55" s="28"/>
    </row>
    <row r="56" spans="14:14" x14ac:dyDescent="0.3">
      <c r="N56" s="28"/>
    </row>
    <row r="57" spans="14:14" x14ac:dyDescent="0.3">
      <c r="N57" s="28"/>
    </row>
    <row r="58" spans="14:14" x14ac:dyDescent="0.3">
      <c r="N58" s="28"/>
    </row>
    <row r="59" spans="14:14" x14ac:dyDescent="0.3">
      <c r="N59" s="28"/>
    </row>
    <row r="60" spans="14:14" x14ac:dyDescent="0.3">
      <c r="N60" s="28"/>
    </row>
    <row r="61" spans="14:14" x14ac:dyDescent="0.3">
      <c r="N61" s="28"/>
    </row>
    <row r="62" spans="14:14" x14ac:dyDescent="0.3">
      <c r="N62" s="28"/>
    </row>
    <row r="63" spans="14:14" x14ac:dyDescent="0.3">
      <c r="N63" s="28"/>
    </row>
    <row r="64" spans="14:14" x14ac:dyDescent="0.3">
      <c r="N64" s="28"/>
    </row>
    <row r="65" spans="14:14" x14ac:dyDescent="0.3">
      <c r="N65" s="28"/>
    </row>
    <row r="66" spans="14:14" x14ac:dyDescent="0.3">
      <c r="N66" s="28"/>
    </row>
    <row r="67" spans="14:14" x14ac:dyDescent="0.3">
      <c r="N67" s="28"/>
    </row>
    <row r="68" spans="14:14" x14ac:dyDescent="0.3">
      <c r="N68" s="28"/>
    </row>
    <row r="69" spans="14:14" x14ac:dyDescent="0.3">
      <c r="N69" s="28"/>
    </row>
    <row r="70" spans="14:14" x14ac:dyDescent="0.3">
      <c r="N70" s="28"/>
    </row>
    <row r="71" spans="14:14" x14ac:dyDescent="0.3">
      <c r="N71" s="28"/>
    </row>
    <row r="72" spans="14:14" x14ac:dyDescent="0.3">
      <c r="N72" s="28"/>
    </row>
    <row r="73" spans="14:14" x14ac:dyDescent="0.3">
      <c r="N73" s="28"/>
    </row>
    <row r="74" spans="14:14" x14ac:dyDescent="0.3">
      <c r="N74" s="28"/>
    </row>
    <row r="75" spans="14:14" x14ac:dyDescent="0.3">
      <c r="N75" s="28"/>
    </row>
    <row r="76" spans="14:14" x14ac:dyDescent="0.3">
      <c r="N76" s="28"/>
    </row>
    <row r="77" spans="14:14" x14ac:dyDescent="0.3">
      <c r="N77" s="28"/>
    </row>
  </sheetData>
  <sortState xmlns:xlrd2="http://schemas.microsoft.com/office/spreadsheetml/2017/richdata2" ref="J6:N15">
    <sortCondition descending="1" ref="N6:N15"/>
  </sortState>
  <phoneticPr fontId="3" type="noConversion"/>
  <conditionalFormatting sqref="A3:F11">
    <cfRule type="expression" dxfId="8" priority="4">
      <formula>$F3&lt;0.5</formula>
    </cfRule>
    <cfRule type="expression" dxfId="7" priority="5">
      <formula>$F3&gt;=0.5</formula>
    </cfRule>
  </conditionalFormatting>
  <conditionalFormatting sqref="A2:F11">
    <cfRule type="expression" dxfId="6" priority="1">
      <formula>($F2 &gt;= 0.6)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514350</xdr:colOff>
                <xdr:row>1</xdr:row>
                <xdr:rowOff>123825</xdr:rowOff>
              </from>
              <to>
                <xdr:col>8</xdr:col>
                <xdr:colOff>676275</xdr:colOff>
                <xdr:row>3</xdr:row>
                <xdr:rowOff>142875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07A5D-BB62-4636-9EE1-327529CF81E2}">
  <sheetPr codeName="Sheet11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Z28"/>
  <sheetViews>
    <sheetView showGridLines="0" zoomScaleNormal="100" workbookViewId="0">
      <selection activeCell="I13" sqref="I13"/>
    </sheetView>
  </sheetViews>
  <sheetFormatPr defaultColWidth="0" defaultRowHeight="16.5" x14ac:dyDescent="0.3"/>
  <cols>
    <col min="1" max="1" width="4" customWidth="1"/>
    <col min="2" max="2" width="13.375" bestFit="1" customWidth="1"/>
    <col min="3" max="3" width="11.125" customWidth="1"/>
    <col min="4" max="5" width="13.125" bestFit="1" customWidth="1"/>
    <col min="6" max="6" width="11.125" customWidth="1"/>
    <col min="7" max="8" width="9" customWidth="1"/>
    <col min="9" max="9" width="10.5" customWidth="1"/>
    <col min="10" max="10" width="11.875" bestFit="1" customWidth="1"/>
    <col min="11" max="11" width="11.25" hidden="1" customWidth="1"/>
    <col min="12" max="12" width="12.75" hidden="1" customWidth="1"/>
    <col min="13" max="14" width="4.25" hidden="1" customWidth="1"/>
    <col min="15" max="15" width="7.5" hidden="1" customWidth="1"/>
    <col min="16" max="19" width="9" hidden="1" customWidth="1"/>
    <col min="20" max="20" width="21" hidden="1" customWidth="1"/>
    <col min="21" max="21" width="11.875" hidden="1" customWidth="1"/>
    <col min="22" max="22" width="2.875" hidden="1" customWidth="1"/>
    <col min="23" max="23" width="4" hidden="1" customWidth="1"/>
    <col min="24" max="25" width="7.375" hidden="1" customWidth="1"/>
    <col min="26" max="26" width="0" hidden="1" customWidth="1"/>
  </cols>
  <sheetData>
    <row r="1" spans="2:26" x14ac:dyDescent="0.3">
      <c r="Z1" s="17" t="s">
        <v>14</v>
      </c>
    </row>
    <row r="2" spans="2:26" x14ac:dyDescent="0.3">
      <c r="B2" s="15" t="s">
        <v>0</v>
      </c>
      <c r="C2" t="s">
        <v>297</v>
      </c>
      <c r="U2">
        <v>7</v>
      </c>
      <c r="Z2" s="17" t="s">
        <v>16</v>
      </c>
    </row>
    <row r="3" spans="2:26" x14ac:dyDescent="0.3">
      <c r="Z3" s="17" t="s">
        <v>18</v>
      </c>
    </row>
    <row r="4" spans="2:26" x14ac:dyDescent="0.3">
      <c r="B4" s="15" t="s">
        <v>302</v>
      </c>
      <c r="C4" t="s">
        <v>298</v>
      </c>
      <c r="D4" t="s">
        <v>299</v>
      </c>
      <c r="E4" t="s">
        <v>300</v>
      </c>
      <c r="F4" t="s">
        <v>301</v>
      </c>
      <c r="Z4" s="17" t="s">
        <v>20</v>
      </c>
    </row>
    <row r="5" spans="2:26" x14ac:dyDescent="0.3">
      <c r="B5" s="17" t="s">
        <v>6</v>
      </c>
      <c r="C5" s="18">
        <v>17</v>
      </c>
      <c r="D5" s="18">
        <v>16</v>
      </c>
      <c r="E5" s="18">
        <v>16</v>
      </c>
      <c r="F5" s="18">
        <v>13</v>
      </c>
      <c r="T5" s="15" t="s">
        <v>305</v>
      </c>
      <c r="U5" s="15" t="s">
        <v>304</v>
      </c>
      <c r="Z5" s="17" t="s">
        <v>22</v>
      </c>
    </row>
    <row r="6" spans="2:26" x14ac:dyDescent="0.3">
      <c r="B6" s="30" t="s">
        <v>337</v>
      </c>
      <c r="C6" s="18">
        <v>16</v>
      </c>
      <c r="D6" s="18">
        <v>13</v>
      </c>
      <c r="E6" s="18">
        <v>14</v>
      </c>
      <c r="F6" s="18">
        <v>11</v>
      </c>
      <c r="T6" s="15" t="s">
        <v>302</v>
      </c>
      <c r="U6" t="s">
        <v>2</v>
      </c>
      <c r="V6" t="s">
        <v>4</v>
      </c>
      <c r="W6" t="s">
        <v>6</v>
      </c>
      <c r="X6" t="s">
        <v>8</v>
      </c>
      <c r="Y6" t="s">
        <v>303</v>
      </c>
      <c r="Z6" s="17" t="s">
        <v>24</v>
      </c>
    </row>
    <row r="7" spans="2:26" x14ac:dyDescent="0.3">
      <c r="B7" s="30" t="s">
        <v>338</v>
      </c>
      <c r="C7" s="18">
        <v>1</v>
      </c>
      <c r="D7" s="18">
        <v>3</v>
      </c>
      <c r="E7" s="18">
        <v>2</v>
      </c>
      <c r="F7" s="18">
        <v>2</v>
      </c>
      <c r="T7" s="17" t="s">
        <v>14</v>
      </c>
      <c r="U7" s="16">
        <v>4</v>
      </c>
      <c r="V7" s="16">
        <v>4</v>
      </c>
      <c r="W7" s="16">
        <v>0</v>
      </c>
      <c r="X7" s="16">
        <v>5</v>
      </c>
      <c r="Y7" s="16">
        <v>13</v>
      </c>
      <c r="Z7" s="17" t="s">
        <v>26</v>
      </c>
    </row>
    <row r="8" spans="2:26" x14ac:dyDescent="0.3">
      <c r="B8" s="17" t="s">
        <v>4</v>
      </c>
      <c r="C8" s="18">
        <v>4</v>
      </c>
      <c r="D8" s="18">
        <v>6</v>
      </c>
      <c r="E8" s="18">
        <v>5</v>
      </c>
      <c r="F8" s="18">
        <v>7</v>
      </c>
      <c r="T8" s="17" t="s">
        <v>16</v>
      </c>
      <c r="U8" s="16">
        <v>0</v>
      </c>
      <c r="V8" s="16">
        <v>7</v>
      </c>
      <c r="W8" s="16">
        <v>0</v>
      </c>
      <c r="X8" s="16">
        <v>4</v>
      </c>
      <c r="Y8" s="16">
        <v>11</v>
      </c>
      <c r="Z8" s="17" t="s">
        <v>28</v>
      </c>
    </row>
    <row r="9" spans="2:26" x14ac:dyDescent="0.3">
      <c r="B9" s="30" t="s">
        <v>337</v>
      </c>
      <c r="C9" s="18">
        <v>4</v>
      </c>
      <c r="D9" s="18">
        <v>6</v>
      </c>
      <c r="E9" s="18">
        <v>5</v>
      </c>
      <c r="F9" s="18">
        <v>7</v>
      </c>
      <c r="T9" s="17" t="s">
        <v>18</v>
      </c>
      <c r="U9" s="16">
        <v>5</v>
      </c>
      <c r="V9" s="16">
        <v>5</v>
      </c>
      <c r="W9" s="16">
        <v>20</v>
      </c>
      <c r="X9" s="16">
        <v>9</v>
      </c>
      <c r="Y9" s="16">
        <v>39</v>
      </c>
      <c r="Z9" s="17" t="s">
        <v>30</v>
      </c>
    </row>
    <row r="10" spans="2:26" x14ac:dyDescent="0.3">
      <c r="B10" s="17" t="s">
        <v>2</v>
      </c>
      <c r="C10" s="18">
        <v>10</v>
      </c>
      <c r="D10" s="18">
        <v>14</v>
      </c>
      <c r="E10" s="18">
        <v>5</v>
      </c>
      <c r="F10" s="18">
        <v>12</v>
      </c>
      <c r="T10" s="17" t="s">
        <v>303</v>
      </c>
      <c r="U10" s="16">
        <v>9</v>
      </c>
      <c r="V10" s="16">
        <v>16</v>
      </c>
      <c r="W10" s="16">
        <v>20</v>
      </c>
      <c r="X10" s="16">
        <v>18</v>
      </c>
      <c r="Y10" s="16">
        <v>63</v>
      </c>
      <c r="Z10" s="17"/>
    </row>
    <row r="11" spans="2:26" x14ac:dyDescent="0.3">
      <c r="B11" s="30" t="s">
        <v>339</v>
      </c>
      <c r="C11" s="18">
        <v>5</v>
      </c>
      <c r="D11" s="18">
        <v>3</v>
      </c>
      <c r="E11" s="18">
        <v>1</v>
      </c>
      <c r="F11" s="18">
        <v>3</v>
      </c>
    </row>
    <row r="12" spans="2:26" x14ac:dyDescent="0.3">
      <c r="B12" s="30" t="s">
        <v>337</v>
      </c>
      <c r="C12" s="18">
        <v>5</v>
      </c>
      <c r="D12" s="18">
        <v>11</v>
      </c>
      <c r="E12" s="18">
        <v>4</v>
      </c>
      <c r="F12" s="18">
        <v>9</v>
      </c>
    </row>
    <row r="13" spans="2:26" x14ac:dyDescent="0.3">
      <c r="B13" s="17" t="s">
        <v>8</v>
      </c>
      <c r="C13" s="18">
        <v>24</v>
      </c>
      <c r="D13" s="18">
        <v>23</v>
      </c>
      <c r="E13" s="18">
        <v>15</v>
      </c>
      <c r="F13" s="18">
        <v>14</v>
      </c>
    </row>
    <row r="14" spans="2:26" x14ac:dyDescent="0.3">
      <c r="B14" s="30" t="s">
        <v>339</v>
      </c>
      <c r="C14" s="18">
        <v>3</v>
      </c>
      <c r="D14" s="18">
        <v>1</v>
      </c>
      <c r="E14" s="18">
        <v>3</v>
      </c>
      <c r="F14" s="18">
        <v>1</v>
      </c>
    </row>
    <row r="15" spans="2:26" x14ac:dyDescent="0.3">
      <c r="B15" s="30" t="s">
        <v>337</v>
      </c>
      <c r="C15" s="18">
        <v>20</v>
      </c>
      <c r="D15" s="18">
        <v>19</v>
      </c>
      <c r="E15" s="18">
        <v>12</v>
      </c>
      <c r="F15" s="18">
        <v>13</v>
      </c>
    </row>
    <row r="16" spans="2:26" x14ac:dyDescent="0.3">
      <c r="B16" s="30" t="s">
        <v>338</v>
      </c>
      <c r="C16" s="18">
        <v>1</v>
      </c>
      <c r="D16" s="18">
        <v>3</v>
      </c>
      <c r="E16" s="18">
        <v>0</v>
      </c>
      <c r="F16" s="18">
        <v>0</v>
      </c>
    </row>
    <row r="17" spans="2:11" x14ac:dyDescent="0.3">
      <c r="B17" s="17" t="s">
        <v>303</v>
      </c>
      <c r="C17" s="18">
        <v>55</v>
      </c>
      <c r="D17" s="18">
        <v>59</v>
      </c>
      <c r="E17" s="18">
        <v>41</v>
      </c>
      <c r="F17" s="18">
        <v>46</v>
      </c>
    </row>
    <row r="28" spans="2:11" x14ac:dyDescent="0.3">
      <c r="K28" s="31"/>
    </row>
  </sheetData>
  <phoneticPr fontId="3" type="noConversion"/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8194" r:id="rId5" name="CommandButton1">
          <controlPr defaultSize="0" autoLine="0" r:id="rId6">
            <anchor moveWithCells="1">
              <from>
                <xdr:col>6</xdr:col>
                <xdr:colOff>533400</xdr:colOff>
                <xdr:row>4</xdr:row>
                <xdr:rowOff>123825</xdr:rowOff>
              </from>
              <to>
                <xdr:col>8</xdr:col>
                <xdr:colOff>695325</xdr:colOff>
                <xdr:row>6</xdr:row>
                <xdr:rowOff>142875</xdr:rowOff>
              </to>
            </anchor>
          </controlPr>
        </control>
      </mc:Choice>
      <mc:Fallback>
        <control shapeId="8194" r:id="rId5" name="CommandButton1"/>
      </mc:Fallback>
    </mc:AlternateContent>
    <mc:AlternateContent xmlns:mc="http://schemas.openxmlformats.org/markup-compatibility/2006">
      <mc:Choice Requires="x14">
        <control shapeId="8193" r:id="rId7" name="Scroll Bar 1">
          <controlPr defaultSize="0" autoPict="0" macro="[0]!차트변화">
            <anchor moveWithCells="1">
              <from>
                <xdr:col>0</xdr:col>
                <xdr:colOff>114300</xdr:colOff>
                <xdr:row>28</xdr:row>
                <xdr:rowOff>190500</xdr:rowOff>
              </from>
              <to>
                <xdr:col>9</xdr:col>
                <xdr:colOff>685800</xdr:colOff>
                <xdr:row>32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8"/>
  <sheetViews>
    <sheetView workbookViewId="0">
      <selection activeCell="K10" sqref="K10"/>
    </sheetView>
  </sheetViews>
  <sheetFormatPr defaultRowHeight="16.5" x14ac:dyDescent="0.3"/>
  <cols>
    <col min="13" max="13" width="16.125" customWidth="1"/>
  </cols>
  <sheetData>
    <row r="1" spans="1:15" x14ac:dyDescent="0.3">
      <c r="A1" s="3" t="s">
        <v>248</v>
      </c>
      <c r="B1" s="4" t="s">
        <v>249</v>
      </c>
      <c r="C1" s="4" t="s">
        <v>250</v>
      </c>
      <c r="D1" s="4" t="s">
        <v>251</v>
      </c>
      <c r="E1" s="4" t="s">
        <v>252</v>
      </c>
      <c r="F1" s="19" t="s">
        <v>274</v>
      </c>
      <c r="H1" s="4" t="s">
        <v>306</v>
      </c>
      <c r="I1" s="4" t="s">
        <v>307</v>
      </c>
      <c r="K1" t="s">
        <v>281</v>
      </c>
      <c r="M1" s="5">
        <v>43477</v>
      </c>
      <c r="O1" s="5">
        <v>43567</v>
      </c>
    </row>
    <row r="2" spans="1:15" x14ac:dyDescent="0.3">
      <c r="A2" s="6">
        <v>43477</v>
      </c>
      <c r="B2" s="1" t="s">
        <v>261</v>
      </c>
      <c r="C2" s="1" t="s">
        <v>262</v>
      </c>
      <c r="D2" s="1" t="s">
        <v>257</v>
      </c>
      <c r="E2" s="1" t="s">
        <v>20</v>
      </c>
      <c r="F2" s="8">
        <v>321</v>
      </c>
      <c r="H2" t="s">
        <v>328</v>
      </c>
      <c r="K2" t="s">
        <v>282</v>
      </c>
      <c r="M2" t="s">
        <v>320</v>
      </c>
      <c r="O2" t="s">
        <v>329</v>
      </c>
    </row>
    <row r="3" spans="1:15" x14ac:dyDescent="0.3">
      <c r="A3" s="6">
        <v>43497</v>
      </c>
      <c r="B3" s="1" t="s">
        <v>261</v>
      </c>
      <c r="C3" s="1" t="s">
        <v>259</v>
      </c>
      <c r="D3" s="1" t="s">
        <v>257</v>
      </c>
      <c r="E3" s="1" t="s">
        <v>20</v>
      </c>
      <c r="F3" s="8">
        <v>326</v>
      </c>
      <c r="I3" t="s">
        <v>321</v>
      </c>
      <c r="K3" t="s">
        <v>280</v>
      </c>
      <c r="M3" t="s">
        <v>322</v>
      </c>
    </row>
    <row r="4" spans="1:15" x14ac:dyDescent="0.3">
      <c r="A4" s="6">
        <v>43501</v>
      </c>
      <c r="B4" s="1" t="s">
        <v>264</v>
      </c>
      <c r="C4" s="1" t="s">
        <v>261</v>
      </c>
      <c r="D4" s="1" t="s">
        <v>255</v>
      </c>
      <c r="E4" s="1" t="s">
        <v>28</v>
      </c>
      <c r="F4" s="8">
        <v>447</v>
      </c>
      <c r="K4" t="s">
        <v>286</v>
      </c>
    </row>
    <row r="5" spans="1:15" x14ac:dyDescent="0.3">
      <c r="A5" s="6">
        <v>43504</v>
      </c>
      <c r="B5" s="1" t="s">
        <v>261</v>
      </c>
      <c r="C5" s="1" t="s">
        <v>259</v>
      </c>
      <c r="D5" s="1" t="s">
        <v>260</v>
      </c>
      <c r="E5" s="1" t="s">
        <v>20</v>
      </c>
      <c r="F5" s="8">
        <v>326</v>
      </c>
      <c r="K5" t="s">
        <v>308</v>
      </c>
    </row>
    <row r="6" spans="1:15" x14ac:dyDescent="0.3">
      <c r="A6" s="6">
        <v>43505</v>
      </c>
      <c r="B6" s="1" t="s">
        <v>261</v>
      </c>
      <c r="C6" s="1" t="s">
        <v>253</v>
      </c>
      <c r="D6" s="1" t="s">
        <v>255</v>
      </c>
      <c r="E6" s="1" t="s">
        <v>20</v>
      </c>
      <c r="F6" s="8">
        <v>326</v>
      </c>
      <c r="K6" t="s">
        <v>289</v>
      </c>
    </row>
    <row r="7" spans="1:15" x14ac:dyDescent="0.3">
      <c r="A7" s="6">
        <v>43508</v>
      </c>
      <c r="B7" s="1" t="s">
        <v>261</v>
      </c>
      <c r="C7" s="1" t="s">
        <v>259</v>
      </c>
      <c r="D7" s="1" t="s">
        <v>257</v>
      </c>
      <c r="E7" s="1" t="s">
        <v>20</v>
      </c>
      <c r="F7" s="8">
        <v>326</v>
      </c>
      <c r="K7" t="s">
        <v>283</v>
      </c>
    </row>
    <row r="8" spans="1:15" x14ac:dyDescent="0.3">
      <c r="A8" s="6">
        <v>43509</v>
      </c>
      <c r="B8" s="1" t="s">
        <v>259</v>
      </c>
      <c r="C8" s="1" t="s">
        <v>261</v>
      </c>
      <c r="D8" s="1" t="s">
        <v>260</v>
      </c>
      <c r="E8" s="1" t="s">
        <v>26</v>
      </c>
      <c r="F8" s="8">
        <v>254</v>
      </c>
      <c r="K8" t="s">
        <v>309</v>
      </c>
    </row>
    <row r="9" spans="1:15" x14ac:dyDescent="0.3">
      <c r="A9" s="6">
        <v>43511</v>
      </c>
      <c r="B9" s="1" t="s">
        <v>261</v>
      </c>
      <c r="C9" s="1" t="s">
        <v>265</v>
      </c>
      <c r="D9" s="1" t="s">
        <v>257</v>
      </c>
      <c r="E9" s="1" t="s">
        <v>20</v>
      </c>
      <c r="F9" s="8">
        <v>326</v>
      </c>
      <c r="K9" t="s">
        <v>288</v>
      </c>
    </row>
    <row r="10" spans="1:15" x14ac:dyDescent="0.3">
      <c r="A10" s="6">
        <v>43512</v>
      </c>
      <c r="B10" s="1" t="s">
        <v>261</v>
      </c>
      <c r="C10" s="1" t="s">
        <v>254</v>
      </c>
      <c r="D10" s="1" t="s">
        <v>260</v>
      </c>
      <c r="E10" s="1" t="s">
        <v>20</v>
      </c>
      <c r="F10" s="8">
        <v>326</v>
      </c>
      <c r="K10" t="s">
        <v>287</v>
      </c>
    </row>
    <row r="11" spans="1:15" x14ac:dyDescent="0.3">
      <c r="A11" s="6">
        <v>43515</v>
      </c>
      <c r="B11" s="1" t="s">
        <v>261</v>
      </c>
      <c r="C11" s="1" t="s">
        <v>256</v>
      </c>
      <c r="D11" s="1" t="s">
        <v>257</v>
      </c>
      <c r="E11" s="1" t="s">
        <v>20</v>
      </c>
      <c r="F11" s="8">
        <v>326</v>
      </c>
    </row>
    <row r="12" spans="1:15" x14ac:dyDescent="0.3">
      <c r="A12" s="6">
        <v>43516</v>
      </c>
      <c r="B12" s="1" t="s">
        <v>258</v>
      </c>
      <c r="C12" s="1" t="s">
        <v>261</v>
      </c>
      <c r="D12" s="1" t="s">
        <v>255</v>
      </c>
      <c r="E12" s="1" t="s">
        <v>18</v>
      </c>
      <c r="F12" s="8">
        <v>435</v>
      </c>
    </row>
    <row r="13" spans="1:15" x14ac:dyDescent="0.3">
      <c r="A13" s="6">
        <v>43518</v>
      </c>
      <c r="B13" s="1" t="s">
        <v>264</v>
      </c>
      <c r="C13" s="1" t="s">
        <v>261</v>
      </c>
      <c r="D13" s="1" t="s">
        <v>257</v>
      </c>
      <c r="E13" s="1" t="s">
        <v>28</v>
      </c>
      <c r="F13" s="8">
        <v>447</v>
      </c>
    </row>
    <row r="14" spans="1:15" x14ac:dyDescent="0.3">
      <c r="A14" s="6">
        <v>43519</v>
      </c>
      <c r="B14" s="1" t="s">
        <v>261</v>
      </c>
      <c r="C14" s="1" t="s">
        <v>265</v>
      </c>
      <c r="D14" s="1" t="s">
        <v>257</v>
      </c>
      <c r="E14" s="1" t="s">
        <v>20</v>
      </c>
      <c r="F14" s="8">
        <v>326</v>
      </c>
    </row>
    <row r="15" spans="1:15" x14ac:dyDescent="0.3">
      <c r="A15" s="6">
        <v>43521</v>
      </c>
      <c r="B15" s="1" t="s">
        <v>261</v>
      </c>
      <c r="C15" s="1" t="s">
        <v>263</v>
      </c>
      <c r="D15" s="1" t="s">
        <v>255</v>
      </c>
      <c r="E15" s="1" t="s">
        <v>20</v>
      </c>
      <c r="F15" s="8">
        <v>326</v>
      </c>
    </row>
    <row r="16" spans="1:15" x14ac:dyDescent="0.3">
      <c r="A16" s="6">
        <v>43522</v>
      </c>
      <c r="B16" s="1" t="s">
        <v>261</v>
      </c>
      <c r="C16" s="1" t="s">
        <v>263</v>
      </c>
      <c r="D16" s="1" t="s">
        <v>260</v>
      </c>
      <c r="E16" s="1" t="s">
        <v>20</v>
      </c>
      <c r="F16" s="8">
        <v>326</v>
      </c>
    </row>
    <row r="17" spans="1:6" x14ac:dyDescent="0.3">
      <c r="A17" s="6">
        <v>43524</v>
      </c>
      <c r="B17" s="1" t="s">
        <v>261</v>
      </c>
      <c r="C17" s="1" t="s">
        <v>256</v>
      </c>
      <c r="D17" s="1" t="s">
        <v>255</v>
      </c>
      <c r="E17" s="1" t="s">
        <v>20</v>
      </c>
      <c r="F17" s="8">
        <v>318</v>
      </c>
    </row>
    <row r="18" spans="1:6" x14ac:dyDescent="0.3">
      <c r="A18" s="6">
        <v>43525</v>
      </c>
      <c r="B18" s="1" t="s">
        <v>261</v>
      </c>
      <c r="C18" s="1" t="s">
        <v>258</v>
      </c>
      <c r="D18" s="1" t="s">
        <v>260</v>
      </c>
      <c r="E18" s="1" t="s">
        <v>20</v>
      </c>
      <c r="F18" s="8">
        <v>326</v>
      </c>
    </row>
    <row r="19" spans="1:6" x14ac:dyDescent="0.3">
      <c r="A19" s="6">
        <v>43533</v>
      </c>
      <c r="B19" s="1" t="s">
        <v>261</v>
      </c>
      <c r="C19" s="1" t="s">
        <v>264</v>
      </c>
      <c r="D19" s="1" t="s">
        <v>257</v>
      </c>
      <c r="E19" s="1" t="s">
        <v>20</v>
      </c>
      <c r="F19" s="8">
        <v>318</v>
      </c>
    </row>
    <row r="20" spans="1:6" x14ac:dyDescent="0.3">
      <c r="A20" s="6">
        <v>43539</v>
      </c>
      <c r="B20" s="1" t="s">
        <v>261</v>
      </c>
      <c r="C20" s="1" t="s">
        <v>259</v>
      </c>
      <c r="D20" s="1" t="s">
        <v>255</v>
      </c>
      <c r="E20" s="1" t="s">
        <v>20</v>
      </c>
      <c r="F20" s="8">
        <v>316</v>
      </c>
    </row>
    <row r="21" spans="1:6" x14ac:dyDescent="0.3">
      <c r="A21" s="6">
        <v>43544</v>
      </c>
      <c r="B21" s="1" t="s">
        <v>254</v>
      </c>
      <c r="C21" s="1" t="s">
        <v>261</v>
      </c>
      <c r="D21" s="1" t="s">
        <v>260</v>
      </c>
      <c r="E21" s="1" t="s">
        <v>24</v>
      </c>
      <c r="F21" s="8">
        <v>544</v>
      </c>
    </row>
    <row r="22" spans="1:6" x14ac:dyDescent="0.3">
      <c r="A22" s="6">
        <v>43546</v>
      </c>
      <c r="B22" s="1" t="s">
        <v>261</v>
      </c>
      <c r="C22" s="1" t="s">
        <v>254</v>
      </c>
      <c r="D22" s="1" t="s">
        <v>257</v>
      </c>
      <c r="E22" s="1" t="s">
        <v>20</v>
      </c>
      <c r="F22" s="8">
        <v>326</v>
      </c>
    </row>
    <row r="23" spans="1:6" x14ac:dyDescent="0.3">
      <c r="A23" s="6">
        <v>43549</v>
      </c>
      <c r="B23" s="1" t="s">
        <v>261</v>
      </c>
      <c r="C23" s="1" t="s">
        <v>263</v>
      </c>
      <c r="D23" s="1" t="s">
        <v>257</v>
      </c>
      <c r="E23" s="1" t="s">
        <v>20</v>
      </c>
      <c r="F23" s="8">
        <v>320</v>
      </c>
    </row>
    <row r="24" spans="1:6" x14ac:dyDescent="0.3">
      <c r="A24" s="6">
        <v>43550</v>
      </c>
      <c r="B24" s="1" t="s">
        <v>259</v>
      </c>
      <c r="C24" s="1" t="s">
        <v>261</v>
      </c>
      <c r="D24" s="1" t="s">
        <v>255</v>
      </c>
      <c r="E24" s="1" t="s">
        <v>26</v>
      </c>
      <c r="F24" s="8">
        <v>254</v>
      </c>
    </row>
    <row r="25" spans="1:6" x14ac:dyDescent="0.3">
      <c r="A25" s="6">
        <v>43551</v>
      </c>
      <c r="B25" s="1" t="s">
        <v>261</v>
      </c>
      <c r="C25" s="1" t="s">
        <v>256</v>
      </c>
      <c r="D25" s="1" t="s">
        <v>257</v>
      </c>
      <c r="E25" s="1" t="s">
        <v>20</v>
      </c>
      <c r="F25" s="8">
        <v>326</v>
      </c>
    </row>
    <row r="26" spans="1:6" x14ac:dyDescent="0.3">
      <c r="A26" s="6">
        <v>43554</v>
      </c>
      <c r="B26" s="1" t="s">
        <v>262</v>
      </c>
      <c r="C26" s="1" t="s">
        <v>261</v>
      </c>
      <c r="D26" s="1" t="s">
        <v>255</v>
      </c>
      <c r="E26" s="1" t="s">
        <v>30</v>
      </c>
      <c r="F26" s="8">
        <v>135</v>
      </c>
    </row>
    <row r="27" spans="1:6" x14ac:dyDescent="0.3">
      <c r="A27" s="6">
        <v>43558</v>
      </c>
      <c r="B27" s="1" t="s">
        <v>263</v>
      </c>
      <c r="C27" s="1" t="s">
        <v>261</v>
      </c>
      <c r="D27" s="1" t="s">
        <v>255</v>
      </c>
      <c r="E27" s="1" t="s">
        <v>22</v>
      </c>
      <c r="F27" s="8">
        <v>371</v>
      </c>
    </row>
    <row r="28" spans="1:6" x14ac:dyDescent="0.3">
      <c r="A28" s="6">
        <v>43562</v>
      </c>
      <c r="B28" s="1" t="s">
        <v>261</v>
      </c>
      <c r="C28" s="1" t="s">
        <v>253</v>
      </c>
      <c r="D28" s="1" t="s">
        <v>257</v>
      </c>
      <c r="E28" s="1" t="s">
        <v>20</v>
      </c>
      <c r="F28" s="8">
        <v>326</v>
      </c>
    </row>
    <row r="29" spans="1:6" x14ac:dyDescent="0.3">
      <c r="A29" s="6">
        <v>43564</v>
      </c>
      <c r="B29" s="1" t="s">
        <v>261</v>
      </c>
      <c r="C29" s="1" t="s">
        <v>263</v>
      </c>
      <c r="D29" s="1" t="s">
        <v>260</v>
      </c>
      <c r="E29" s="1" t="s">
        <v>20</v>
      </c>
      <c r="F29" s="8">
        <v>326</v>
      </c>
    </row>
    <row r="30" spans="1:6" x14ac:dyDescent="0.3">
      <c r="A30" s="6">
        <v>43568</v>
      </c>
      <c r="B30" s="1" t="s">
        <v>261</v>
      </c>
      <c r="C30" s="1" t="s">
        <v>264</v>
      </c>
      <c r="D30" s="1" t="s">
        <v>257</v>
      </c>
      <c r="E30" s="1" t="s">
        <v>20</v>
      </c>
      <c r="F30" s="8">
        <v>326</v>
      </c>
    </row>
    <row r="31" spans="1:6" x14ac:dyDescent="0.3">
      <c r="A31" s="6">
        <v>43572</v>
      </c>
      <c r="B31" s="1" t="s">
        <v>265</v>
      </c>
      <c r="C31" s="1" t="s">
        <v>261</v>
      </c>
      <c r="D31" s="1" t="s">
        <v>255</v>
      </c>
      <c r="E31" s="1" t="s">
        <v>16</v>
      </c>
      <c r="F31" s="8">
        <v>342</v>
      </c>
    </row>
    <row r="32" spans="1:6" x14ac:dyDescent="0.3">
      <c r="A32" s="6">
        <v>43576</v>
      </c>
      <c r="B32" s="1" t="s">
        <v>259</v>
      </c>
      <c r="C32" s="1" t="s">
        <v>261</v>
      </c>
      <c r="D32" s="1" t="s">
        <v>255</v>
      </c>
      <c r="E32" s="1" t="s">
        <v>26</v>
      </c>
      <c r="F32" s="8">
        <v>254</v>
      </c>
    </row>
    <row r="33" spans="1:6" x14ac:dyDescent="0.3">
      <c r="A33" s="6">
        <v>43580</v>
      </c>
      <c r="B33" s="1" t="s">
        <v>261</v>
      </c>
      <c r="C33" s="1" t="s">
        <v>256</v>
      </c>
      <c r="D33" s="1" t="s">
        <v>255</v>
      </c>
      <c r="E33" s="1" t="s">
        <v>20</v>
      </c>
      <c r="F33" s="8">
        <v>326</v>
      </c>
    </row>
    <row r="34" spans="1:6" x14ac:dyDescent="0.3">
      <c r="A34" s="6">
        <v>43582</v>
      </c>
      <c r="B34" s="1" t="s">
        <v>264</v>
      </c>
      <c r="C34" s="1" t="s">
        <v>261</v>
      </c>
      <c r="D34" s="1" t="s">
        <v>260</v>
      </c>
      <c r="E34" s="1" t="s">
        <v>28</v>
      </c>
      <c r="F34" s="8">
        <v>447</v>
      </c>
    </row>
    <row r="35" spans="1:6" x14ac:dyDescent="0.3">
      <c r="A35" s="6">
        <v>43585</v>
      </c>
      <c r="B35" s="1" t="s">
        <v>259</v>
      </c>
      <c r="C35" s="1" t="s">
        <v>261</v>
      </c>
      <c r="D35" s="1" t="s">
        <v>257</v>
      </c>
      <c r="E35" s="1" t="s">
        <v>26</v>
      </c>
      <c r="F35" s="8">
        <v>254</v>
      </c>
    </row>
    <row r="36" spans="1:6" x14ac:dyDescent="0.3">
      <c r="A36" s="6">
        <v>43588</v>
      </c>
      <c r="B36" s="1" t="s">
        <v>262</v>
      </c>
      <c r="C36" s="1" t="s">
        <v>261</v>
      </c>
      <c r="D36" s="1" t="s">
        <v>255</v>
      </c>
      <c r="E36" s="1" t="s">
        <v>30</v>
      </c>
      <c r="F36" s="8">
        <v>135</v>
      </c>
    </row>
    <row r="37" spans="1:6" x14ac:dyDescent="0.3">
      <c r="A37" s="6">
        <v>43590</v>
      </c>
      <c r="B37" s="1" t="s">
        <v>261</v>
      </c>
      <c r="C37" s="1" t="s">
        <v>263</v>
      </c>
      <c r="D37" s="1" t="s">
        <v>257</v>
      </c>
      <c r="E37" s="1" t="s">
        <v>20</v>
      </c>
      <c r="F37" s="8">
        <v>326</v>
      </c>
    </row>
    <row r="38" spans="1:6" x14ac:dyDescent="0.3">
      <c r="A38" s="6"/>
      <c r="B38" s="1"/>
      <c r="C38" s="1"/>
      <c r="D38" s="1"/>
      <c r="E38" s="1"/>
      <c r="F38" s="8"/>
    </row>
  </sheetData>
  <phoneticPr fontId="3" type="noConversion"/>
  <conditionalFormatting sqref="A1:E1 H1:I1">
    <cfRule type="expression" dxfId="4" priority="1">
      <formula>A1&lt;&gt;""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I10"/>
  <sheetViews>
    <sheetView workbookViewId="0">
      <selection activeCell="F3" sqref="F3:F6"/>
    </sheetView>
  </sheetViews>
  <sheetFormatPr defaultRowHeight="16.5" x14ac:dyDescent="0.3"/>
  <cols>
    <col min="3" max="3" width="11.75" customWidth="1"/>
    <col min="4" max="4" width="13.25" customWidth="1"/>
    <col min="5" max="5" width="9" customWidth="1"/>
    <col min="6" max="6" width="15" customWidth="1"/>
    <col min="7" max="7" width="12.875" customWidth="1"/>
    <col min="8" max="8" width="15.875" customWidth="1"/>
    <col min="9" max="9" width="18.25" customWidth="1"/>
  </cols>
  <sheetData>
    <row r="1" spans="2:9" ht="17.25" thickBot="1" x14ac:dyDescent="0.35"/>
    <row r="2" spans="2:9" ht="23.1" customHeight="1" x14ac:dyDescent="0.3">
      <c r="B2" s="41" t="s">
        <v>310</v>
      </c>
      <c r="C2" s="42"/>
      <c r="D2" s="42"/>
      <c r="E2" s="42"/>
      <c r="F2" s="22" t="s">
        <v>327</v>
      </c>
      <c r="G2" s="22" t="s">
        <v>311</v>
      </c>
      <c r="H2" s="22" t="s">
        <v>313</v>
      </c>
      <c r="I2" s="23" t="s">
        <v>312</v>
      </c>
    </row>
    <row r="3" spans="2:9" ht="23.1" customHeight="1" x14ac:dyDescent="0.3">
      <c r="B3" s="43"/>
      <c r="C3" s="44"/>
      <c r="D3" s="44"/>
      <c r="E3" s="44"/>
      <c r="F3" s="32" t="s">
        <v>325</v>
      </c>
      <c r="G3" s="20" t="s">
        <v>33</v>
      </c>
      <c r="H3" s="24">
        <v>2</v>
      </c>
      <c r="I3" s="25">
        <v>200000</v>
      </c>
    </row>
    <row r="4" spans="2:9" ht="23.1" customHeight="1" x14ac:dyDescent="0.3">
      <c r="B4" s="43"/>
      <c r="C4" s="44"/>
      <c r="D4" s="44"/>
      <c r="E4" s="44"/>
      <c r="F4" s="32"/>
      <c r="G4" s="20" t="s">
        <v>35</v>
      </c>
      <c r="H4" s="24">
        <v>1</v>
      </c>
      <c r="I4" s="25">
        <v>80000</v>
      </c>
    </row>
    <row r="5" spans="2:9" ht="23.1" customHeight="1" x14ac:dyDescent="0.3">
      <c r="B5" s="43"/>
      <c r="C5" s="44"/>
      <c r="D5" s="44"/>
      <c r="E5" s="44"/>
      <c r="F5" s="32"/>
      <c r="G5" s="20" t="s">
        <v>37</v>
      </c>
      <c r="H5" s="24">
        <v>1</v>
      </c>
      <c r="I5" s="25">
        <v>50000</v>
      </c>
    </row>
    <row r="6" spans="2:9" ht="23.1" customHeight="1" x14ac:dyDescent="0.3">
      <c r="B6" s="43"/>
      <c r="C6" s="44"/>
      <c r="D6" s="44"/>
      <c r="E6" s="44"/>
      <c r="F6" s="32"/>
      <c r="G6" s="20" t="s">
        <v>39</v>
      </c>
      <c r="H6" s="24">
        <v>1</v>
      </c>
      <c r="I6" s="25">
        <v>30000</v>
      </c>
    </row>
    <row r="7" spans="2:9" ht="23.1" customHeight="1" x14ac:dyDescent="0.3">
      <c r="B7" s="45" t="s">
        <v>314</v>
      </c>
      <c r="C7" s="46"/>
      <c r="D7" s="46" t="s">
        <v>315</v>
      </c>
      <c r="E7" s="46"/>
      <c r="F7" s="20" t="s">
        <v>316</v>
      </c>
      <c r="G7" s="32"/>
      <c r="H7" s="32"/>
      <c r="I7" s="33"/>
    </row>
    <row r="8" spans="2:9" ht="23.1" customHeight="1" x14ac:dyDescent="0.3">
      <c r="B8" s="47" t="s">
        <v>323</v>
      </c>
      <c r="C8" s="35"/>
      <c r="D8" s="35" t="s">
        <v>324</v>
      </c>
      <c r="E8" s="35"/>
      <c r="F8" s="20" t="s">
        <v>317</v>
      </c>
      <c r="G8" s="34">
        <v>43554</v>
      </c>
      <c r="H8" s="35"/>
      <c r="I8" s="36"/>
    </row>
    <row r="9" spans="2:9" ht="23.1" customHeight="1" x14ac:dyDescent="0.3">
      <c r="B9" s="47"/>
      <c r="C9" s="35"/>
      <c r="D9" s="35"/>
      <c r="E9" s="35"/>
      <c r="F9" s="20" t="s">
        <v>318</v>
      </c>
      <c r="G9" s="39">
        <v>360000</v>
      </c>
      <c r="H9" s="39"/>
      <c r="I9" s="40"/>
    </row>
    <row r="10" spans="2:9" ht="23.1" customHeight="1" thickBot="1" x14ac:dyDescent="0.35">
      <c r="B10" s="48"/>
      <c r="C10" s="37"/>
      <c r="D10" s="37"/>
      <c r="E10" s="37"/>
      <c r="F10" s="21" t="s">
        <v>319</v>
      </c>
      <c r="G10" s="37" t="s">
        <v>326</v>
      </c>
      <c r="H10" s="37"/>
      <c r="I10" s="38"/>
    </row>
  </sheetData>
  <mergeCells count="10">
    <mergeCell ref="G7:I7"/>
    <mergeCell ref="G8:I8"/>
    <mergeCell ref="G10:I10"/>
    <mergeCell ref="G9:I9"/>
    <mergeCell ref="B2:E6"/>
    <mergeCell ref="B7:C7"/>
    <mergeCell ref="D7:E7"/>
    <mergeCell ref="F3:F6"/>
    <mergeCell ref="B8:C10"/>
    <mergeCell ref="D8:E10"/>
  </mergeCells>
  <phoneticPr fontId="3" type="noConversion"/>
  <conditionalFormatting sqref="F3:F6">
    <cfRule type="expression" dxfId="3" priority="1">
      <formula>F3="자유석"</formula>
    </cfRule>
    <cfRule type="expression" dxfId="2" priority="2">
      <formula>F3="A"</formula>
    </cfRule>
    <cfRule type="expression" dxfId="1" priority="3">
      <formula>F3="S"</formula>
    </cfRule>
    <cfRule type="expression" dxfId="0" priority="4">
      <formula>F3="익사이팅존"</formula>
    </cfRule>
  </conditionalFormatting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</vt:i4>
      </vt:variant>
    </vt:vector>
  </HeadingPairs>
  <TitlesOfParts>
    <vt:vector size="13" baseType="lpstr">
      <vt:lpstr>메인 화면</vt:lpstr>
      <vt:lpstr>구장정보</vt:lpstr>
      <vt:lpstr>회원정보</vt:lpstr>
      <vt:lpstr>경기 일정</vt:lpstr>
      <vt:lpstr>경기 기록</vt:lpstr>
      <vt:lpstr>결제정보</vt:lpstr>
      <vt:lpstr>순위</vt:lpstr>
      <vt:lpstr>Sheet1</vt:lpstr>
      <vt:lpstr>흥행</vt:lpstr>
      <vt:lpstr>예매정보</vt:lpstr>
      <vt:lpstr>티켓</vt:lpstr>
      <vt:lpstr>예매정보!Criteria</vt:lpstr>
      <vt:lpstr>예매정보!Extract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Administrator</cp:lastModifiedBy>
  <cp:lastPrinted>2019-03-30T06:42:11Z</cp:lastPrinted>
  <dcterms:created xsi:type="dcterms:W3CDTF">2019-03-30T04:43:00Z</dcterms:created>
  <dcterms:modified xsi:type="dcterms:W3CDTF">2020-05-16T09:23:01Z</dcterms:modified>
</cp:coreProperties>
</file>