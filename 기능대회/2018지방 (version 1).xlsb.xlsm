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7.xml" ContentType="application/vnd.ms-office.activeX+xml"/>
  <Override PartName="/xl/printerSettings/printerSettings3.bin" ContentType="application/vnd.openxmlformats-officedocument.spreadsheetml.printerSettings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8.xml" ContentType="application/vnd.ms-office.activeX+xml"/>
  <Override PartName="/xl/ctrlProps/ctrlProp1.xml" ContentType="application/vnd.ms-excel.controlproperties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hjun\git\Excel\기능대회\"/>
    </mc:Choice>
  </mc:AlternateContent>
  <xr:revisionPtr revIDLastSave="0" documentId="13_ncr:1_{AE2EFD40-5894-4E78-A27A-7A9B0CE1089F}" xr6:coauthVersionLast="45" xr6:coauthVersionMax="45" xr10:uidLastSave="{00000000-0000-0000-0000-000000000000}"/>
  <bookViews>
    <workbookView xWindow="29445" yWindow="375" windowWidth="27840" windowHeight="15090" activeTab="2" xr2:uid="{00000000-000D-0000-FFFF-FFFF00000000}"/>
  </bookViews>
  <sheets>
    <sheet name="Main" sheetId="1" r:id="rId1"/>
    <sheet name="거래처" sheetId="2" r:id="rId2"/>
    <sheet name="품목" sheetId="3" r:id="rId3"/>
    <sheet name="발주리스트" sheetId="4" r:id="rId4"/>
    <sheet name="주문서" sheetId="5" r:id="rId5"/>
    <sheet name="내역서" sheetId="6" r:id="rId6"/>
    <sheet name="Data1" sheetId="7" state="hidden" r:id="rId7"/>
    <sheet name="Data2" sheetId="8" state="hidden" r:id="rId8"/>
  </sheets>
  <definedNames>
    <definedName name="_xlnm._FilterDatabase" localSheetId="1" hidden="1">거래처!$A$1:$F$1000</definedName>
    <definedName name="_xlnm._FilterDatabase" localSheetId="3" hidden="1">발주리스트!$A$1:$I$9</definedName>
    <definedName name="_xlnm._FilterDatabase" localSheetId="2" hidden="1">품목!$A$1:$E$1000</definedName>
    <definedName name="_xlnm.Criteria" localSheetId="6">Data1!$H$1:$H$2</definedName>
    <definedName name="_xlnm.Criteria" localSheetId="7">Data2!$H$1:$H$2</definedName>
    <definedName name="_xlnm.Extract" localSheetId="6">Data1!$A$1:$F$1</definedName>
    <definedName name="_xlnm.Extract" localSheetId="7">Data2!$C$1:$F$1</definedName>
    <definedName name="_xlnm.Print_Area" localSheetId="4">주문서!$A$1:$I$24</definedName>
    <definedName name="거래처">OFFSET(Data1!$A$2,,,COUNTA(Data1!$A$2:$A$700),6)</definedName>
    <definedName name="발주리스트">OFFSET(발주리스트!$A$1,,,COUNTA(발주리스트!$A:$A),9)</definedName>
    <definedName name="주문서">OFFSET(거래처!$B$1,,,COUNTA(거래처!$B:$B),3)</definedName>
    <definedName name="품목">OFFSET(품목!$A$2,,,COUNTA(품목!$A$2:$A$500),5)</definedName>
    <definedName name="품목선택">OFFSET(Data1!$U$2,,,COUNTA(Data1!$U$2:$U$400),6)</definedName>
    <definedName name="피벗자료">OFFSET(Data2!$C$1,,,COUNTA(Data2!$C:$C),4)</definedName>
  </definedNames>
  <calcPr calcId="191029"/>
  <pivotCaches>
    <pivotCache cacheId="0" r:id="rId9"/>
    <pivotCache cacheId="5" r:id="rId10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6" i="3" l="1"/>
  <c r="B9" i="5" l="1"/>
  <c r="B10" i="5"/>
  <c r="B11" i="5"/>
  <c r="B12" i="5"/>
  <c r="H341" i="4" l="1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B2" i="8"/>
  <c r="H440" i="4" l="1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B13" i="5"/>
  <c r="B14" i="5"/>
  <c r="B15" i="5"/>
  <c r="B16" i="5"/>
  <c r="B17" i="5"/>
  <c r="B18" i="5"/>
  <c r="E6" i="5"/>
  <c r="E7" i="5" s="1"/>
  <c r="C6" i="5"/>
  <c r="H19" i="5"/>
  <c r="C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L10" authorId="0" shapeId="0" xr:uid="{B6D8ADE4-5915-4E1B-9027-9E179162C53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<sst xmlns="http://schemas.openxmlformats.org/spreadsheetml/2006/main" count="281" uniqueCount="121">
  <si>
    <t>No</t>
  </si>
  <si>
    <t>상호명</t>
  </si>
  <si>
    <t>담당자</t>
  </si>
  <si>
    <t>연락처</t>
  </si>
  <si>
    <t>FAX</t>
  </si>
  <si>
    <t>E-MAIL</t>
  </si>
  <si>
    <t>태양산업</t>
  </si>
  <si>
    <t>김○○</t>
  </si>
  <si>
    <t>051-792-0571</t>
  </si>
  <si>
    <t>test1@abc.com</t>
  </si>
  <si>
    <t>성진전기</t>
  </si>
  <si>
    <t>선○○</t>
  </si>
  <si>
    <t>061-797-6063</t>
  </si>
  <si>
    <t>test2@abc.com</t>
  </si>
  <si>
    <t>윤진무역</t>
  </si>
  <si>
    <t>강화공업</t>
  </si>
  <si>
    <t>02-703-0557</t>
  </si>
  <si>
    <t>test4@abc.com</t>
  </si>
  <si>
    <t>미주기업</t>
  </si>
  <si>
    <t>이○○</t>
  </si>
  <si>
    <t>053-312-2721</t>
  </si>
  <si>
    <t>test5@abc.com</t>
  </si>
  <si>
    <t>해용회사</t>
  </si>
  <si>
    <t>문○○</t>
  </si>
  <si>
    <t>041-795-5443</t>
  </si>
  <si>
    <t>test6@abc.com</t>
  </si>
  <si>
    <t>병진기획</t>
  </si>
  <si>
    <t>한○○</t>
  </si>
  <si>
    <t>052-793-0024</t>
  </si>
  <si>
    <t>test7@abc.com</t>
  </si>
  <si>
    <t>전기기업</t>
  </si>
  <si>
    <t>박○○</t>
  </si>
  <si>
    <t>042-345-8510</t>
  </si>
  <si>
    <t>test8@abc.com</t>
  </si>
  <si>
    <t>한전기업</t>
  </si>
  <si>
    <t>윤○○</t>
  </si>
  <si>
    <t>082-453-9881</t>
  </si>
  <si>
    <t>test9@abc.com</t>
  </si>
  <si>
    <t>대우산업</t>
  </si>
  <si>
    <t>어○○</t>
  </si>
  <si>
    <t>067-831-9452</t>
  </si>
  <si>
    <t>test10@abc.com</t>
  </si>
  <si>
    <t>발주일</t>
  </si>
  <si>
    <t>상호</t>
  </si>
  <si>
    <t>품번</t>
  </si>
  <si>
    <t>품명</t>
  </si>
  <si>
    <t>규격</t>
  </si>
  <si>
    <t>수량</t>
  </si>
  <si>
    <t>단가</t>
  </si>
  <si>
    <t>금액</t>
  </si>
  <si>
    <t>납품일</t>
  </si>
  <si>
    <t>18-001</t>
  </si>
  <si>
    <t>케이블</t>
  </si>
  <si>
    <t>10M</t>
  </si>
  <si>
    <t>18-002</t>
  </si>
  <si>
    <t>랜선</t>
  </si>
  <si>
    <t>1M</t>
  </si>
  <si>
    <t>18-003</t>
  </si>
  <si>
    <t>소켓</t>
  </si>
  <si>
    <t>1개</t>
  </si>
  <si>
    <t>18-004</t>
  </si>
  <si>
    <t>펌프</t>
  </si>
  <si>
    <t>18-005</t>
  </si>
  <si>
    <t>볼트</t>
  </si>
  <si>
    <t>No</t>
    <phoneticPr fontId="1" type="noConversion"/>
  </si>
  <si>
    <t>품번</t>
    <phoneticPr fontId="1" type="noConversion"/>
  </si>
  <si>
    <t>품명</t>
    <phoneticPr fontId="1" type="noConversion"/>
  </si>
  <si>
    <t>규격</t>
    <phoneticPr fontId="1" type="noConversion"/>
  </si>
  <si>
    <t>단가</t>
    <phoneticPr fontId="1" type="noConversion"/>
  </si>
  <si>
    <t>소켓</t>
    <phoneticPr fontId="1" type="noConversion"/>
  </si>
  <si>
    <t>펌프</t>
    <phoneticPr fontId="1" type="noConversion"/>
  </si>
  <si>
    <t>1개</t>
    <phoneticPr fontId="1" type="noConversion"/>
  </si>
  <si>
    <t>사업자등록번호</t>
    <phoneticPr fontId="1" type="noConversion"/>
  </si>
  <si>
    <t>상호</t>
    <phoneticPr fontId="1" type="noConversion"/>
  </si>
  <si>
    <t>주소</t>
    <phoneticPr fontId="1" type="noConversion"/>
  </si>
  <si>
    <t>종목</t>
    <phoneticPr fontId="1" type="noConversion"/>
  </si>
  <si>
    <t>발주자</t>
    <phoneticPr fontId="1" type="noConversion"/>
  </si>
  <si>
    <t>연락처</t>
    <phoneticPr fontId="1" type="noConversion"/>
  </si>
  <si>
    <t>발주일자</t>
    <phoneticPr fontId="1" type="noConversion"/>
  </si>
  <si>
    <t>협력업체</t>
    <phoneticPr fontId="1" type="noConversion"/>
  </si>
  <si>
    <t>담당자</t>
    <phoneticPr fontId="1" type="noConversion"/>
  </si>
  <si>
    <t>순위</t>
    <phoneticPr fontId="1" type="noConversion"/>
  </si>
  <si>
    <t>품번</t>
    <phoneticPr fontId="1" type="noConversion"/>
  </si>
  <si>
    <t>품명 &amp; 규격</t>
    <phoneticPr fontId="1" type="noConversion"/>
  </si>
  <si>
    <t>수량(EA)</t>
    <phoneticPr fontId="1" type="noConversion"/>
  </si>
  <si>
    <t>단 가</t>
    <phoneticPr fontId="1" type="noConversion"/>
  </si>
  <si>
    <t>금 액</t>
    <phoneticPr fontId="1" type="noConversion"/>
  </si>
  <si>
    <t>비 고</t>
    <phoneticPr fontId="1" type="noConversion"/>
  </si>
  <si>
    <t>합계</t>
    <phoneticPr fontId="1" type="noConversion"/>
  </si>
  <si>
    <t>기타사항</t>
    <phoneticPr fontId="1" type="noConversion"/>
  </si>
  <si>
    <t>\</t>
    <phoneticPr fontId="1" type="noConversion"/>
  </si>
  <si>
    <t>물 품 주 문 서</t>
    <phoneticPr fontId="1" type="noConversion"/>
  </si>
  <si>
    <t>123-12-12345</t>
    <phoneticPr fontId="1" type="noConversion"/>
  </si>
  <si>
    <t>주식닷컴</t>
    <phoneticPr fontId="1" type="noConversion"/>
  </si>
  <si>
    <t>제주시 한림읍 협재리 2497-1</t>
    <phoneticPr fontId="1" type="noConversion"/>
  </si>
  <si>
    <t>도소매업</t>
    <phoneticPr fontId="1" type="noConversion"/>
  </si>
  <si>
    <t>김제주</t>
    <phoneticPr fontId="1" type="noConversion"/>
  </si>
  <si>
    <t>010-5555-7777</t>
    <phoneticPr fontId="1" type="noConversion"/>
  </si>
  <si>
    <t>**</t>
    <phoneticPr fontId="1" type="noConversion"/>
  </si>
  <si>
    <t>개수</t>
    <phoneticPr fontId="1" type="noConversion"/>
  </si>
  <si>
    <t>행 레이블</t>
  </si>
  <si>
    <t>총합계</t>
  </si>
  <si>
    <t>합계 : 단가</t>
  </si>
  <si>
    <t>합계 : 수량</t>
  </si>
  <si>
    <t>합계 : 금액</t>
  </si>
  <si>
    <t>18-002</t>
    <phoneticPr fontId="1" type="noConversion"/>
  </si>
  <si>
    <t>1M</t>
    <phoneticPr fontId="1" type="noConversion"/>
  </si>
  <si>
    <t>랜선</t>
    <phoneticPr fontId="1" type="noConversion"/>
  </si>
  <si>
    <t>18-001</t>
    <phoneticPr fontId="1" type="noConversion"/>
  </si>
  <si>
    <t>케이블</t>
    <phoneticPr fontId="1" type="noConversion"/>
  </si>
  <si>
    <t>10M</t>
    <phoneticPr fontId="1" type="noConversion"/>
  </si>
  <si>
    <t>18-005</t>
    <phoneticPr fontId="1" type="noConversion"/>
  </si>
  <si>
    <t>볼트</t>
    <phoneticPr fontId="1" type="noConversion"/>
  </si>
  <si>
    <t>1개</t>
    <phoneticPr fontId="1" type="noConversion"/>
  </si>
  <si>
    <t>강화공업</t>
    <phoneticPr fontId="1" type="noConversion"/>
  </si>
  <si>
    <t>dddd</t>
  </si>
  <si>
    <t>1</t>
  </si>
  <si>
    <t>sddd@ddd</t>
  </si>
  <si>
    <t xml:space="preserve"> </t>
    <phoneticPr fontId="1" type="noConversion"/>
  </si>
  <si>
    <t>casc</t>
    <phoneticPr fontId="1" type="noConversion"/>
  </si>
  <si>
    <t>vxv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</si>
</sst>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#,##0&quot;원&quot;"/>
    <numFmt numFmtId="178" formatCode="General&quot;개&quot;"/>
    <numFmt numFmtId="181" formatCode="0_);[Red]\(0\)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76" fontId="4" fillId="4" borderId="0" xfId="1" applyFont="1" applyFill="1" applyAlignment="1">
      <alignment horizontal="center" vertical="center"/>
    </xf>
    <xf numFmtId="176" fontId="0" fillId="2" borderId="0" xfId="1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5" fillId="5" borderId="26" xfId="0" applyFont="1" applyFill="1" applyBorder="1" applyAlignment="1">
      <alignment horizontal="center" vertical="center"/>
    </xf>
    <xf numFmtId="0" fontId="5" fillId="5" borderId="27" xfId="0" applyFont="1" applyFill="1" applyBorder="1" applyAlignment="1">
      <alignment horizontal="center" vertical="center"/>
    </xf>
    <xf numFmtId="0" fontId="5" fillId="5" borderId="28" xfId="0" applyFont="1" applyFill="1" applyBorder="1" applyAlignment="1">
      <alignment horizontal="center" vertical="center"/>
    </xf>
    <xf numFmtId="0" fontId="5" fillId="5" borderId="30" xfId="0" applyFont="1" applyFill="1" applyBorder="1" applyAlignment="1">
      <alignment horizontal="center" vertical="center"/>
    </xf>
    <xf numFmtId="0" fontId="5" fillId="5" borderId="29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distributed" vertical="center" indent="2"/>
    </xf>
    <xf numFmtId="3" fontId="0" fillId="2" borderId="5" xfId="0" applyNumberFormat="1" applyFill="1" applyBorder="1" applyAlignment="1">
      <alignment horizontal="center" vertical="center"/>
    </xf>
    <xf numFmtId="3" fontId="0" fillId="2" borderId="1" xfId="0" applyNumberFormat="1" applyFill="1" applyBorder="1" applyAlignment="1">
      <alignment horizontal="center" vertical="center"/>
    </xf>
    <xf numFmtId="176" fontId="0" fillId="2" borderId="14" xfId="1" applyFont="1" applyFill="1" applyBorder="1" applyAlignment="1">
      <alignment horizontal="center" vertical="center"/>
    </xf>
    <xf numFmtId="3" fontId="0" fillId="2" borderId="4" xfId="0" applyNumberFormat="1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0" fontId="3" fillId="2" borderId="0" xfId="0" applyFont="1" applyFill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5" borderId="16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0" fontId="0" fillId="2" borderId="14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176" fontId="0" fillId="2" borderId="0" xfId="0" applyNumberFormat="1" applyFill="1">
      <alignment vertical="center"/>
    </xf>
    <xf numFmtId="181" fontId="0" fillId="2" borderId="0" xfId="1" applyNumberFormat="1" applyFont="1" applyFill="1" applyAlignment="1">
      <alignment horizontal="center" vertical="center"/>
    </xf>
  </cellXfs>
  <cellStyles count="2">
    <cellStyle name="쉼표 [0]" xfId="1" builtinId="6"/>
    <cellStyle name="표준" xfId="0" builtinId="0"/>
  </cellStyles>
  <dxfs count="16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8" formatCode="General&quot;개&quot;"/>
    </dxf>
    <dxf>
      <numFmt numFmtId="177" formatCode="#,##0&quot;원&quot;"/>
    </dxf>
    <dxf>
      <numFmt numFmtId="177" formatCode="#,##0&quot;원&quot;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[2018지방 (version 1).xlsb.xlsm]Data2!피벗 테이블2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ko-KR" altLang="en-US"/>
              <a:t>태양산업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10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Data2!$I$4</c:f>
              <c:strCache>
                <c:ptCount val="1"/>
                <c:pt idx="0">
                  <c:v>합계 : 수량</c:v>
                </c:pt>
              </c:strCache>
            </c:strRef>
          </c:tx>
          <c:invertIfNegative val="0"/>
          <c:cat>
            <c:strRef>
              <c:f>Data2!$H$5:$H$6</c:f>
              <c:strCache>
                <c:ptCount val="1"/>
                <c:pt idx="0">
                  <c:v>케이블</c:v>
                </c:pt>
              </c:strCache>
            </c:strRef>
          </c:cat>
          <c:val>
            <c:numRef>
              <c:f>Data2!$I$5:$I$6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C0-4F62-87BB-F87E7248CF0C}"/>
            </c:ext>
          </c:extLst>
        </c:ser>
        <c:ser>
          <c:idx val="1"/>
          <c:order val="1"/>
          <c:tx>
            <c:strRef>
              <c:f>Data2!$J$4</c:f>
              <c:strCache>
                <c:ptCount val="1"/>
                <c:pt idx="0">
                  <c:v>합계 : 단가</c:v>
                </c:pt>
              </c:strCache>
            </c:strRef>
          </c:tx>
          <c:invertIfNegative val="0"/>
          <c:cat>
            <c:strRef>
              <c:f>Data2!$H$5:$H$6</c:f>
              <c:strCache>
                <c:ptCount val="1"/>
                <c:pt idx="0">
                  <c:v>케이블</c:v>
                </c:pt>
              </c:strCache>
            </c:strRef>
          </c:cat>
          <c:val>
            <c:numRef>
              <c:f>Data2!$J$5:$J$6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C0-4F62-87BB-F87E7248CF0C}"/>
            </c:ext>
          </c:extLst>
        </c:ser>
        <c:ser>
          <c:idx val="2"/>
          <c:order val="2"/>
          <c:tx>
            <c:strRef>
              <c:f>Data2!$K$4</c:f>
              <c:strCache>
                <c:ptCount val="1"/>
                <c:pt idx="0">
                  <c:v>합계 : 금액</c:v>
                </c:pt>
              </c:strCache>
            </c:strRef>
          </c:tx>
          <c:invertIfNegative val="0"/>
          <c:cat>
            <c:strRef>
              <c:f>Data2!$H$5:$H$6</c:f>
              <c:strCache>
                <c:ptCount val="1"/>
                <c:pt idx="0">
                  <c:v>케이블</c:v>
                </c:pt>
              </c:strCache>
            </c:strRef>
          </c:cat>
          <c:val>
            <c:numRef>
              <c:f>Data2!$K$5:$K$6</c:f>
              <c:numCache>
                <c:formatCode>General</c:formatCode>
                <c:ptCount val="1"/>
                <c:pt idx="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C0-4F62-87BB-F87E7248C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30709120"/>
        <c:axId val="230710656"/>
        <c:axId val="0"/>
      </c:bar3DChart>
      <c:catAx>
        <c:axId val="230709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0710656"/>
        <c:crosses val="autoZero"/>
        <c:auto val="1"/>
        <c:lblAlgn val="ctr"/>
        <c:lblOffset val="100"/>
        <c:noMultiLvlLbl val="0"/>
      </c:catAx>
      <c:valAx>
        <c:axId val="230710656"/>
        <c:scaling>
          <c:logBase val="1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09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trlProps/ctrlProp1.xml><?xml version="1.0" encoding="utf-8"?>
<formControlPr xmlns="http://schemas.microsoft.com/office/spreadsheetml/2009/9/main" objectType="Drop" dropStyle="combo" dx="16" fmlaLink="Data2!$B$3" fmlaRange="Data2!$A$2:$A$5" noThreeD="1" sel="1" val="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637761</xdr:colOff>
      <xdr:row>0</xdr:row>
      <xdr:rowOff>173935</xdr:rowOff>
    </xdr:from>
    <xdr:to>
      <xdr:col>6</xdr:col>
      <xdr:colOff>554935</xdr:colOff>
      <xdr:row>4</xdr:row>
      <xdr:rowOff>99391</xdr:rowOff>
    </xdr:to>
    <xdr:sp macro="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7761" y="173935"/>
          <a:ext cx="4041913" cy="753717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 b="1"/>
            <a:t>발주 </a:t>
          </a:r>
          <a:r>
            <a:rPr lang="en-US" altLang="ko-KR" sz="2800" b="1"/>
            <a:t>SYSTEM</a:t>
          </a:r>
          <a:endParaRPr lang="ko-KR" altLang="en-US" sz="28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</xdr:row>
          <xdr:rowOff>200025</xdr:rowOff>
        </xdr:from>
        <xdr:to>
          <xdr:col>5</xdr:col>
          <xdr:colOff>419100</xdr:colOff>
          <xdr:row>7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5</xdr:col>
          <xdr:colOff>390525</xdr:colOff>
          <xdr:row>10</xdr:row>
          <xdr:rowOff>190500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19050</xdr:rowOff>
        </xdr:from>
        <xdr:to>
          <xdr:col>5</xdr:col>
          <xdr:colOff>390525</xdr:colOff>
          <xdr:row>14</xdr:row>
          <xdr:rowOff>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38100</xdr:rowOff>
        </xdr:from>
        <xdr:to>
          <xdr:col>5</xdr:col>
          <xdr:colOff>390525</xdr:colOff>
          <xdr:row>17</xdr:row>
          <xdr:rowOff>19050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19050</xdr:rowOff>
        </xdr:from>
        <xdr:to>
          <xdr:col>5</xdr:col>
          <xdr:colOff>390525</xdr:colOff>
          <xdr:row>20</xdr:row>
          <xdr:rowOff>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19050</xdr:rowOff>
        </xdr:from>
        <xdr:to>
          <xdr:col>5</xdr:col>
          <xdr:colOff>390525</xdr:colOff>
          <xdr:row>23</xdr:row>
          <xdr:rowOff>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123825</xdr:rowOff>
        </xdr:from>
        <xdr:to>
          <xdr:col>12</xdr:col>
          <xdr:colOff>9525</xdr:colOff>
          <xdr:row>3</xdr:row>
          <xdr:rowOff>152400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0</xdr:row>
      <xdr:rowOff>23812</xdr:rowOff>
    </xdr:from>
    <xdr:to>
      <xdr:col>17</xdr:col>
      <xdr:colOff>228600</xdr:colOff>
      <xdr:row>13</xdr:row>
      <xdr:rowOff>190500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19050</xdr:rowOff>
        </xdr:from>
        <xdr:to>
          <xdr:col>7</xdr:col>
          <xdr:colOff>657225</xdr:colOff>
          <xdr:row>3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0</xdr:row>
          <xdr:rowOff>171450</xdr:rowOff>
        </xdr:from>
        <xdr:to>
          <xdr:col>11</xdr:col>
          <xdr:colOff>114300</xdr:colOff>
          <xdr:row>2</xdr:row>
          <xdr:rowOff>85725</xdr:rowOff>
        </xdr:to>
        <xdr:sp macro="" textlink="">
          <xdr:nvSpPr>
            <xdr:cNvPr id="6146" name="Drop Dow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사용자" refreshedDate="43196.468098032405" createdVersion="4" refreshedVersion="4" minRefreshableVersion="3" recordCount="1" xr:uid="{00000000-000A-0000-FFFF-FFFF26000000}">
  <cacheSource type="worksheet">
    <worksheetSource name="피벗자료"/>
  </cacheSource>
  <cacheFields count="4">
    <cacheField name="품명" numFmtId="0">
      <sharedItems count="5">
        <s v="케이블"/>
        <s v="소켓" u="1"/>
        <s v="랜선" u="1"/>
        <s v="펌프" u="1"/>
        <s v="볼트" u="1"/>
      </sharedItems>
    </cacheField>
    <cacheField name="수량" numFmtId="0">
      <sharedItems containsSemiMixedTypes="0" containsString="0" containsNumber="1" containsInteger="1" minValue="10" maxValue="10"/>
    </cacheField>
    <cacheField name="단가" numFmtId="176">
      <sharedItems containsSemiMixedTypes="0" containsString="0" containsNumber="1" containsInteger="1" minValue="10000" maxValue="10000"/>
    </cacheField>
    <cacheField name="금액" numFmtId="176">
      <sharedItems containsSemiMixedTypes="0" containsString="0" containsNumber="1" containsInteger="1" minValue="10000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3976.947768981481" createdVersion="4" refreshedVersion="6" minRefreshableVersion="3" recordCount="8" xr:uid="{00000000-000A-0000-FFFF-FFFF3A000000}">
  <cacheSource type="worksheet">
    <worksheetSource name="발주리스트"/>
  </cacheSource>
  <cacheFields count="9">
    <cacheField name="발주일" numFmtId="14">
      <sharedItems containsSemiMixedTypes="0" containsNonDate="0" containsDate="1" containsString="0" minDate="2018-01-01T00:00:00" maxDate="2018-01-16T00:00:00"/>
    </cacheField>
    <cacheField name="상호" numFmtId="0">
      <sharedItems count="7">
        <s v="태양산업"/>
        <s v="성진전기"/>
        <s v="윤진무역"/>
        <s v="강화공업"/>
        <s v="전기기업" u="1"/>
        <s v="병진기획" u="1"/>
        <s v="해용회사" u="1"/>
      </sharedItems>
    </cacheField>
    <cacheField name="품번" numFmtId="0">
      <sharedItems/>
    </cacheField>
    <cacheField name="품명" numFmtId="0">
      <sharedItems count="5">
        <s v="케이블"/>
        <s v="랜선"/>
        <s v="소켓"/>
        <s v="펌프"/>
        <s v="볼트"/>
      </sharedItems>
    </cacheField>
    <cacheField name="규격" numFmtId="0">
      <sharedItems/>
    </cacheField>
    <cacheField name="수량" numFmtId="0">
      <sharedItems containsSemiMixedTypes="0" containsString="0" containsNumber="1" containsInteger="1" minValue="10" maxValue="50"/>
    </cacheField>
    <cacheField name="단가" numFmtId="176">
      <sharedItems containsSemiMixedTypes="0" containsString="0" containsNumber="1" containsInteger="1" minValue="500" maxValue="15000"/>
    </cacheField>
    <cacheField name="금액" numFmtId="176">
      <sharedItems containsSemiMixedTypes="0" containsString="0" containsNumber="1" containsInteger="1" minValue="15000" maxValue="225000"/>
    </cacheField>
    <cacheField name="납품일" numFmtId="0">
      <sharedItems containsNonDate="0" containsDate="1" containsString="0" containsBlank="1" minDate="2018-01-05T00:00:00" maxDate="2018-02-0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0"/>
    <n v="10000"/>
    <n v="100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d v="2018-01-01T00:00:00"/>
    <x v="0"/>
    <s v="18-001"/>
    <x v="0"/>
    <s v="10M"/>
    <n v="10"/>
    <n v="10000"/>
    <n v="100000"/>
    <d v="2018-01-05T00:00:00"/>
  </r>
  <r>
    <d v="2018-01-05T00:00:00"/>
    <x v="1"/>
    <s v="18-002"/>
    <x v="1"/>
    <s v="1M"/>
    <n v="11"/>
    <n v="15000"/>
    <n v="165000"/>
    <m/>
  </r>
  <r>
    <d v="2018-01-05T00:00:00"/>
    <x v="2"/>
    <s v="18-003"/>
    <x v="2"/>
    <s v="1개"/>
    <n v="50"/>
    <n v="500"/>
    <n v="25000"/>
    <m/>
  </r>
  <r>
    <d v="2018-01-05T00:00:00"/>
    <x v="3"/>
    <s v="18-002"/>
    <x v="1"/>
    <s v="1M"/>
    <n v="15"/>
    <n v="15000"/>
    <n v="225000"/>
    <d v="2018-02-01T00:00:00"/>
  </r>
  <r>
    <d v="2018-01-05T00:00:00"/>
    <x v="1"/>
    <s v="18-003"/>
    <x v="2"/>
    <s v="1개"/>
    <n v="40"/>
    <n v="500"/>
    <n v="20000"/>
    <m/>
  </r>
  <r>
    <d v="2018-01-09T00:00:00"/>
    <x v="2"/>
    <s v="18-003"/>
    <x v="2"/>
    <s v="1개"/>
    <n v="30"/>
    <n v="500"/>
    <n v="15000"/>
    <d v="2018-01-22T00:00:00"/>
  </r>
  <r>
    <d v="2018-01-12T00:00:00"/>
    <x v="3"/>
    <s v="18-004"/>
    <x v="3"/>
    <s v="1개"/>
    <n v="20"/>
    <n v="5000"/>
    <n v="100000"/>
    <m/>
  </r>
  <r>
    <d v="2018-01-15T00:00:00"/>
    <x v="1"/>
    <s v="18-005"/>
    <x v="4"/>
    <s v="1개"/>
    <n v="35"/>
    <n v="500"/>
    <n v="175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피벗 테이블1" cacheId="5" applyNumberFormats="0" applyBorderFormats="0" applyFontFormats="0" applyPatternFormats="0" applyAlignmentFormats="0" applyWidthHeightFormats="1" dataCaption="값" updatedVersion="6" minRefreshableVersion="3" useAutoFormatting="1" itemPrintTitles="1" createdVersion="4" indent="0" compact="0" outline="1" outlineData="1" compactData="0" multipleFieldFilters="0">
  <location ref="B2:F14" firstHeaderRow="0" firstDataRow="1" firstDataCol="2"/>
  <pivotFields count="9">
    <pivotField compact="0" numFmtId="14" showAll="0"/>
    <pivotField axis="axisRow" compact="0" showAll="0">
      <items count="8">
        <item x="3"/>
        <item x="1"/>
        <item x="2"/>
        <item x="0"/>
        <item m="1" x="6"/>
        <item m="1" x="5"/>
        <item m="1" x="4"/>
        <item t="default"/>
      </items>
    </pivotField>
    <pivotField compact="0" showAll="0"/>
    <pivotField axis="axisRow" compact="0" showAll="0">
      <items count="6">
        <item x="1"/>
        <item x="4"/>
        <item x="2"/>
        <item x="0"/>
        <item x="3"/>
        <item t="default"/>
      </items>
    </pivotField>
    <pivotField compact="0" showAll="0"/>
    <pivotField dataField="1" compact="0" showAll="0"/>
    <pivotField dataField="1" compact="0" numFmtId="176" showAll="0"/>
    <pivotField dataField="1" compact="0" numFmtId="176" showAll="0"/>
    <pivotField compact="0" showAll="0"/>
  </pivotFields>
  <rowFields count="2">
    <field x="1"/>
    <field x="3"/>
  </rowFields>
  <rowItems count="12">
    <i>
      <x/>
    </i>
    <i r="1">
      <x/>
    </i>
    <i r="1">
      <x v="4"/>
    </i>
    <i>
      <x v="1"/>
    </i>
    <i r="1">
      <x/>
    </i>
    <i r="1">
      <x v="1"/>
    </i>
    <i r="1">
      <x v="2"/>
    </i>
    <i>
      <x v="2"/>
    </i>
    <i r="1">
      <x v="2"/>
    </i>
    <i>
      <x v="3"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합계 : 단가" fld="6" baseField="0" baseItem="0" numFmtId="177"/>
    <dataField name="합계 : 수량" fld="5" baseField="0" baseItem="0" numFmtId="178"/>
    <dataField name="합계 : 금액" fld="7" baseField="0" baseItem="0" numFmtId="177"/>
  </dataFields>
  <formats count="3">
    <format dxfId="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피벗 테이블2" cacheId="0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outline="1" outlineData="1" multipleFieldFilters="0" chartFormat="1">
  <location ref="H4:K6" firstHeaderRow="0" firstDataRow="1" firstDataCol="1"/>
  <pivotFields count="4">
    <pivotField axis="axisRow" showAll="0">
      <items count="6">
        <item x="0"/>
        <item m="1" x="2"/>
        <item m="1" x="1"/>
        <item m="1" x="4"/>
        <item m="1" x="3"/>
        <item t="default"/>
      </items>
    </pivotField>
    <pivotField dataField="1" showAll="0"/>
    <pivotField dataField="1" numFmtId="176" showAll="0"/>
    <pivotField dataField="1" numFmtId="176" showAll="0"/>
  </pivotFields>
  <rowFields count="1">
    <field x="0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합계 : 수량" fld="1" baseField="0" baseItem="0"/>
    <dataField name="합계 : 단가" fld="2" baseField="0" baseItem="0"/>
    <dataField name="합계 : 금액" fld="3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115" zoomScaleNormal="115" workbookViewId="0">
      <selection activeCell="G25" sqref="G25"/>
    </sheetView>
  </sheetViews>
  <sheetFormatPr defaultRowHeight="16.5" x14ac:dyDescent="0.3"/>
  <cols>
    <col min="1" max="16384" width="9" style="29"/>
  </cols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28575</xdr:colOff>
                <xdr:row>5</xdr:row>
                <xdr:rowOff>200025</xdr:rowOff>
              </from>
              <to>
                <xdr:col>5</xdr:col>
                <xdr:colOff>419100</xdr:colOff>
                <xdr:row>7</xdr:row>
                <xdr:rowOff>180975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2</xdr:col>
                <xdr:colOff>0</xdr:colOff>
                <xdr:row>9</xdr:row>
                <xdr:rowOff>0</xdr:rowOff>
              </from>
              <to>
                <xdr:col>5</xdr:col>
                <xdr:colOff>390525</xdr:colOff>
                <xdr:row>10</xdr:row>
                <xdr:rowOff>190500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7" r:id="rId7" name="CommandButton3">
          <controlPr defaultSize="0" autoLine="0" r:id="rId8">
            <anchor moveWithCells="1">
              <from>
                <xdr:col>2</xdr:col>
                <xdr:colOff>0</xdr:colOff>
                <xdr:row>12</xdr:row>
                <xdr:rowOff>19050</xdr:rowOff>
              </from>
              <to>
                <xdr:col>5</xdr:col>
                <xdr:colOff>390525</xdr:colOff>
                <xdr:row>14</xdr:row>
                <xdr:rowOff>0</xdr:rowOff>
              </to>
            </anchor>
          </controlPr>
        </control>
      </mc:Choice>
      <mc:Fallback>
        <control shapeId="1027" r:id="rId7" name="CommandButton3"/>
      </mc:Fallback>
    </mc:AlternateContent>
    <mc:AlternateContent xmlns:mc="http://schemas.openxmlformats.org/markup-compatibility/2006">
      <mc:Choice Requires="x14">
        <control shapeId="1028" r:id="rId9" name="CommandButton4">
          <controlPr defaultSize="0" autoLine="0" r:id="rId10">
            <anchor moveWithCells="1">
              <from>
                <xdr:col>2</xdr:col>
                <xdr:colOff>0</xdr:colOff>
                <xdr:row>15</xdr:row>
                <xdr:rowOff>38100</xdr:rowOff>
              </from>
              <to>
                <xdr:col>5</xdr:col>
                <xdr:colOff>390525</xdr:colOff>
                <xdr:row>17</xdr:row>
                <xdr:rowOff>19050</xdr:rowOff>
              </to>
            </anchor>
          </controlPr>
        </control>
      </mc:Choice>
      <mc:Fallback>
        <control shapeId="1028" r:id="rId9" name="CommandButton4"/>
      </mc:Fallback>
    </mc:AlternateContent>
    <mc:AlternateContent xmlns:mc="http://schemas.openxmlformats.org/markup-compatibility/2006">
      <mc:Choice Requires="x14">
        <control shapeId="1029" r:id="rId11" name="CommandButton5">
          <controlPr defaultSize="0" autoLine="0" r:id="rId12">
            <anchor moveWithCells="1">
              <from>
                <xdr:col>2</xdr:col>
                <xdr:colOff>0</xdr:colOff>
                <xdr:row>18</xdr:row>
                <xdr:rowOff>19050</xdr:rowOff>
              </from>
              <to>
                <xdr:col>5</xdr:col>
                <xdr:colOff>390525</xdr:colOff>
                <xdr:row>20</xdr:row>
                <xdr:rowOff>0</xdr:rowOff>
              </to>
            </anchor>
          </controlPr>
        </control>
      </mc:Choice>
      <mc:Fallback>
        <control shapeId="1029" r:id="rId11" name="CommandButton5"/>
      </mc:Fallback>
    </mc:AlternateContent>
    <mc:AlternateContent xmlns:mc="http://schemas.openxmlformats.org/markup-compatibility/2006">
      <mc:Choice Requires="x14">
        <control shapeId="1030" r:id="rId13" name="CommandButton6">
          <controlPr defaultSize="0" autoLine="0" r:id="rId14">
            <anchor moveWithCells="1">
              <from>
                <xdr:col>2</xdr:col>
                <xdr:colOff>0</xdr:colOff>
                <xdr:row>21</xdr:row>
                <xdr:rowOff>19050</xdr:rowOff>
              </from>
              <to>
                <xdr:col>5</xdr:col>
                <xdr:colOff>390525</xdr:colOff>
                <xdr:row>23</xdr:row>
                <xdr:rowOff>0</xdr:rowOff>
              </to>
            </anchor>
          </controlPr>
        </control>
      </mc:Choice>
      <mc:Fallback>
        <control shapeId="1030" r:id="rId13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2"/>
  <sheetViews>
    <sheetView workbookViewId="0">
      <selection activeCell="F27" sqref="F27"/>
    </sheetView>
  </sheetViews>
  <sheetFormatPr defaultRowHeight="16.5" x14ac:dyDescent="0.3"/>
  <cols>
    <col min="1" max="6" width="15.25" style="2" customWidth="1"/>
    <col min="7" max="16384" width="9" style="1"/>
  </cols>
  <sheetData>
    <row r="1" spans="1:6" x14ac:dyDescent="0.3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3">
      <c r="A2" s="2">
        <v>1</v>
      </c>
      <c r="B2" s="2" t="s">
        <v>6</v>
      </c>
      <c r="C2" s="2" t="s">
        <v>7</v>
      </c>
      <c r="D2" s="2" t="s">
        <v>8</v>
      </c>
      <c r="E2" s="2" t="s">
        <v>8</v>
      </c>
      <c r="F2" s="2" t="s">
        <v>9</v>
      </c>
    </row>
    <row r="3" spans="1:6" x14ac:dyDescent="0.3">
      <c r="A3" s="2">
        <v>2</v>
      </c>
      <c r="B3" s="2" t="s">
        <v>10</v>
      </c>
      <c r="C3" s="2" t="s">
        <v>11</v>
      </c>
      <c r="D3" s="2" t="s">
        <v>12</v>
      </c>
      <c r="E3" s="2" t="s">
        <v>12</v>
      </c>
      <c r="F3" s="2" t="s">
        <v>13</v>
      </c>
    </row>
    <row r="4" spans="1:6" x14ac:dyDescent="0.3">
      <c r="A4" s="2">
        <v>4</v>
      </c>
      <c r="B4" s="2" t="s">
        <v>15</v>
      </c>
      <c r="C4" s="2" t="s">
        <v>7</v>
      </c>
      <c r="D4" s="2" t="s">
        <v>16</v>
      </c>
      <c r="E4" s="2" t="s">
        <v>16</v>
      </c>
      <c r="F4" s="2" t="s">
        <v>17</v>
      </c>
    </row>
    <row r="5" spans="1:6" x14ac:dyDescent="0.3">
      <c r="A5" s="2">
        <v>5</v>
      </c>
      <c r="B5" s="2" t="s">
        <v>18</v>
      </c>
      <c r="C5" s="2" t="s">
        <v>19</v>
      </c>
      <c r="D5" s="2" t="s">
        <v>20</v>
      </c>
      <c r="E5" s="2" t="s">
        <v>20</v>
      </c>
      <c r="F5" s="2" t="s">
        <v>21</v>
      </c>
    </row>
    <row r="6" spans="1:6" x14ac:dyDescent="0.3">
      <c r="A6" s="2">
        <v>6</v>
      </c>
      <c r="B6" s="2" t="s">
        <v>22</v>
      </c>
      <c r="C6" s="2" t="s">
        <v>23</v>
      </c>
      <c r="D6" s="2" t="s">
        <v>24</v>
      </c>
      <c r="E6" s="2" t="s">
        <v>24</v>
      </c>
      <c r="F6" s="2" t="s">
        <v>25</v>
      </c>
    </row>
    <row r="7" spans="1:6" x14ac:dyDescent="0.3">
      <c r="A7" s="2">
        <v>7</v>
      </c>
      <c r="B7" s="2" t="s">
        <v>26</v>
      </c>
      <c r="C7" s="2" t="s">
        <v>27</v>
      </c>
      <c r="D7" s="2" t="s">
        <v>28</v>
      </c>
      <c r="E7" s="2" t="s">
        <v>28</v>
      </c>
      <c r="F7" s="2" t="s">
        <v>29</v>
      </c>
    </row>
    <row r="8" spans="1:6" x14ac:dyDescent="0.3">
      <c r="A8" s="2">
        <v>8</v>
      </c>
      <c r="B8" s="2" t="s">
        <v>30</v>
      </c>
      <c r="C8" s="2" t="s">
        <v>31</v>
      </c>
      <c r="D8" s="2" t="s">
        <v>32</v>
      </c>
      <c r="E8" s="2" t="s">
        <v>32</v>
      </c>
      <c r="F8" s="2" t="s">
        <v>33</v>
      </c>
    </row>
    <row r="9" spans="1:6" x14ac:dyDescent="0.3">
      <c r="A9" s="2">
        <v>9</v>
      </c>
      <c r="B9" s="2" t="s">
        <v>34</v>
      </c>
      <c r="C9" s="2" t="s">
        <v>35</v>
      </c>
      <c r="D9" s="2" t="s">
        <v>36</v>
      </c>
      <c r="E9" s="2" t="s">
        <v>36</v>
      </c>
      <c r="F9" s="2" t="s">
        <v>37</v>
      </c>
    </row>
    <row r="10" spans="1:6" x14ac:dyDescent="0.3">
      <c r="A10" s="2">
        <v>10</v>
      </c>
      <c r="B10" s="2" t="s">
        <v>38</v>
      </c>
      <c r="C10" s="2" t="s">
        <v>39</v>
      </c>
      <c r="D10" s="2" t="s">
        <v>40</v>
      </c>
      <c r="E10" s="2" t="s">
        <v>40</v>
      </c>
      <c r="F10" s="2" t="s">
        <v>41</v>
      </c>
    </row>
    <row r="11" spans="1:6" x14ac:dyDescent="0.3">
      <c r="A11" s="2">
        <v>11</v>
      </c>
      <c r="B11" s="2" t="s">
        <v>115</v>
      </c>
      <c r="C11" s="2" t="s">
        <v>116</v>
      </c>
      <c r="D11" s="7">
        <v>36892</v>
      </c>
      <c r="E11" s="7">
        <v>36892</v>
      </c>
      <c r="F11" s="2" t="s">
        <v>117</v>
      </c>
    </row>
    <row r="12" spans="1:6" x14ac:dyDescent="0.3">
      <c r="C12" s="2" t="s">
        <v>120</v>
      </c>
      <c r="F12" s="2" t="s">
        <v>119</v>
      </c>
    </row>
  </sheetData>
  <phoneticPr fontId="1" type="noConversion"/>
  <conditionalFormatting sqref="A1:F1048576">
    <cfRule type="expression" dxfId="15" priority="1">
      <formula>$A1&lt;&gt;""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6"/>
  <sheetViews>
    <sheetView tabSelected="1" workbookViewId="0">
      <selection activeCell="G16" sqref="G16"/>
    </sheetView>
  </sheetViews>
  <sheetFormatPr defaultRowHeight="16.5" x14ac:dyDescent="0.3"/>
  <cols>
    <col min="1" max="4" width="9" style="2"/>
    <col min="5" max="5" width="9" style="9"/>
    <col min="6" max="16384" width="9" style="1"/>
  </cols>
  <sheetData>
    <row r="1" spans="1:7" x14ac:dyDescent="0.3">
      <c r="A1" s="5" t="s">
        <v>64</v>
      </c>
      <c r="B1" s="6" t="s">
        <v>65</v>
      </c>
      <c r="C1" s="6" t="s">
        <v>66</v>
      </c>
      <c r="D1" s="6" t="s">
        <v>67</v>
      </c>
      <c r="E1" s="8" t="s">
        <v>68</v>
      </c>
    </row>
    <row r="2" spans="1:7" x14ac:dyDescent="0.3">
      <c r="A2" s="2">
        <v>1</v>
      </c>
      <c r="B2" s="2" t="s">
        <v>108</v>
      </c>
      <c r="C2" s="2" t="s">
        <v>109</v>
      </c>
      <c r="D2" s="2" t="s">
        <v>110</v>
      </c>
      <c r="E2" s="62">
        <v>10000</v>
      </c>
    </row>
    <row r="3" spans="1:7" x14ac:dyDescent="0.3">
      <c r="A3" s="2">
        <v>2</v>
      </c>
      <c r="B3" s="2" t="s">
        <v>105</v>
      </c>
      <c r="C3" s="2" t="s">
        <v>107</v>
      </c>
      <c r="D3" s="2" t="s">
        <v>106</v>
      </c>
      <c r="E3" s="62">
        <v>15000</v>
      </c>
    </row>
    <row r="4" spans="1:7" x14ac:dyDescent="0.3">
      <c r="A4" s="2">
        <v>3</v>
      </c>
      <c r="B4" s="2" t="s">
        <v>57</v>
      </c>
      <c r="C4" s="2" t="s">
        <v>69</v>
      </c>
      <c r="D4" s="2" t="s">
        <v>71</v>
      </c>
      <c r="E4" s="62">
        <v>500</v>
      </c>
    </row>
    <row r="5" spans="1:7" x14ac:dyDescent="0.3">
      <c r="A5" s="2">
        <v>4</v>
      </c>
      <c r="B5" s="2" t="s">
        <v>60</v>
      </c>
      <c r="C5" s="2" t="s">
        <v>70</v>
      </c>
      <c r="D5" s="2" t="s">
        <v>71</v>
      </c>
      <c r="E5" s="62">
        <v>5000</v>
      </c>
    </row>
    <row r="6" spans="1:7" x14ac:dyDescent="0.3">
      <c r="A6" s="2">
        <v>5</v>
      </c>
      <c r="B6" s="2" t="s">
        <v>111</v>
      </c>
      <c r="C6" s="2" t="s">
        <v>112</v>
      </c>
      <c r="D6" s="2" t="s">
        <v>113</v>
      </c>
      <c r="E6" s="62">
        <v>500</v>
      </c>
    </row>
    <row r="16" spans="1:7" x14ac:dyDescent="0.3">
      <c r="G16" s="61" t="e">
        <f>E1+E2</f>
        <v>#VALUE!</v>
      </c>
    </row>
  </sheetData>
  <phoneticPr fontId="1" type="noConversion"/>
  <conditionalFormatting sqref="A1:E1048576">
    <cfRule type="expression" dxfId="1" priority="2">
      <formula>$A1&lt;&gt;""</formula>
    </cfRule>
  </conditionalFormatting>
  <conditionalFormatting sqref="A1:E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{B1561B39-E06A-4E9A-B36E-2ABB0841A49A}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1561B39-E06A-4E9A-B36E-2ABB0841A4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A1:E6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539"/>
  <sheetViews>
    <sheetView showGridLines="0" workbookViewId="0">
      <selection activeCell="H12" sqref="H12"/>
    </sheetView>
  </sheetViews>
  <sheetFormatPr defaultRowHeight="16.5" x14ac:dyDescent="0.3"/>
  <cols>
    <col min="1" max="6" width="13.25" style="2" customWidth="1"/>
    <col min="7" max="8" width="13.25" style="9" customWidth="1"/>
    <col min="9" max="9" width="13.25" style="2" customWidth="1"/>
    <col min="10" max="16384" width="9" style="1"/>
  </cols>
  <sheetData>
    <row r="1" spans="1:16" x14ac:dyDescent="0.3">
      <c r="A1" s="5" t="s">
        <v>42</v>
      </c>
      <c r="B1" s="6" t="s">
        <v>43</v>
      </c>
      <c r="C1" s="6" t="s">
        <v>44</v>
      </c>
      <c r="D1" s="6" t="s">
        <v>45</v>
      </c>
      <c r="E1" s="6" t="s">
        <v>46</v>
      </c>
      <c r="F1" s="6" t="s">
        <v>47</v>
      </c>
      <c r="G1" s="8" t="s">
        <v>48</v>
      </c>
      <c r="H1" s="8" t="s">
        <v>49</v>
      </c>
      <c r="I1" s="6" t="s">
        <v>50</v>
      </c>
      <c r="P1" s="29">
        <v>43105</v>
      </c>
    </row>
    <row r="2" spans="1:16" x14ac:dyDescent="0.3">
      <c r="A2" s="7">
        <v>43101</v>
      </c>
      <c r="B2" s="2" t="s">
        <v>6</v>
      </c>
      <c r="C2" s="2" t="s">
        <v>51</v>
      </c>
      <c r="D2" s="2" t="s">
        <v>52</v>
      </c>
      <c r="E2" s="2" t="s">
        <v>53</v>
      </c>
      <c r="F2" s="2">
        <v>10</v>
      </c>
      <c r="G2" s="9">
        <v>10000</v>
      </c>
      <c r="H2" s="9">
        <v>100000</v>
      </c>
      <c r="I2" s="7">
        <v>43105</v>
      </c>
      <c r="P2" s="29" t="s">
        <v>114</v>
      </c>
    </row>
    <row r="3" spans="1:16" x14ac:dyDescent="0.3">
      <c r="A3" s="7">
        <v>43105</v>
      </c>
      <c r="B3" s="2" t="s">
        <v>10</v>
      </c>
      <c r="C3" s="2" t="s">
        <v>54</v>
      </c>
      <c r="D3" s="2" t="s">
        <v>55</v>
      </c>
      <c r="E3" s="2" t="s">
        <v>56</v>
      </c>
      <c r="F3" s="2">
        <v>11</v>
      </c>
      <c r="G3" s="9">
        <v>15000</v>
      </c>
      <c r="H3" s="9">
        <v>165000</v>
      </c>
      <c r="I3" s="7"/>
    </row>
    <row r="4" spans="1:16" x14ac:dyDescent="0.3">
      <c r="A4" s="7">
        <v>43105</v>
      </c>
      <c r="B4" s="2" t="s">
        <v>14</v>
      </c>
      <c r="C4" s="2" t="s">
        <v>57</v>
      </c>
      <c r="D4" s="2" t="s">
        <v>58</v>
      </c>
      <c r="E4" s="2" t="s">
        <v>59</v>
      </c>
      <c r="F4" s="2">
        <v>50</v>
      </c>
      <c r="G4" s="9">
        <v>500</v>
      </c>
      <c r="H4" s="9">
        <v>25000</v>
      </c>
    </row>
    <row r="5" spans="1:16" x14ac:dyDescent="0.3">
      <c r="A5" s="7">
        <v>43105</v>
      </c>
      <c r="B5" s="2" t="s">
        <v>15</v>
      </c>
      <c r="C5" s="2" t="s">
        <v>54</v>
      </c>
      <c r="D5" s="2" t="s">
        <v>55</v>
      </c>
      <c r="E5" s="2" t="s">
        <v>56</v>
      </c>
      <c r="F5" s="2">
        <v>15</v>
      </c>
      <c r="G5" s="9">
        <v>15000</v>
      </c>
      <c r="H5" s="9">
        <v>225000</v>
      </c>
      <c r="I5" s="7">
        <v>43132</v>
      </c>
    </row>
    <row r="6" spans="1:16" x14ac:dyDescent="0.3">
      <c r="A6" s="7">
        <v>43105</v>
      </c>
      <c r="B6" s="2" t="s">
        <v>10</v>
      </c>
      <c r="C6" s="2" t="s">
        <v>57</v>
      </c>
      <c r="D6" s="2" t="s">
        <v>58</v>
      </c>
      <c r="E6" s="2" t="s">
        <v>59</v>
      </c>
      <c r="F6" s="2">
        <v>40</v>
      </c>
      <c r="G6" s="9">
        <v>500</v>
      </c>
      <c r="H6" s="9">
        <v>20000</v>
      </c>
      <c r="I6" s="7"/>
    </row>
    <row r="7" spans="1:16" x14ac:dyDescent="0.3">
      <c r="A7" s="7">
        <v>43109</v>
      </c>
      <c r="B7" s="2" t="s">
        <v>14</v>
      </c>
      <c r="C7" s="2" t="s">
        <v>57</v>
      </c>
      <c r="D7" s="2" t="s">
        <v>58</v>
      </c>
      <c r="E7" s="2" t="s">
        <v>59</v>
      </c>
      <c r="F7" s="2">
        <v>30</v>
      </c>
      <c r="G7" s="9">
        <v>500</v>
      </c>
      <c r="H7" s="9">
        <v>15000</v>
      </c>
      <c r="I7" s="7">
        <v>43122</v>
      </c>
    </row>
    <row r="8" spans="1:16" x14ac:dyDescent="0.3">
      <c r="A8" s="7">
        <v>43112</v>
      </c>
      <c r="B8" s="2" t="s">
        <v>15</v>
      </c>
      <c r="C8" s="2" t="s">
        <v>60</v>
      </c>
      <c r="D8" s="2" t="s">
        <v>61</v>
      </c>
      <c r="E8" s="2" t="s">
        <v>59</v>
      </c>
      <c r="F8" s="2">
        <v>20</v>
      </c>
      <c r="G8" s="9">
        <v>5000</v>
      </c>
      <c r="H8" s="9">
        <v>100000</v>
      </c>
    </row>
    <row r="9" spans="1:16" x14ac:dyDescent="0.3">
      <c r="A9" s="7">
        <v>43115</v>
      </c>
      <c r="B9" s="2" t="s">
        <v>10</v>
      </c>
      <c r="C9" s="2" t="s">
        <v>62</v>
      </c>
      <c r="D9" s="2" t="s">
        <v>63</v>
      </c>
      <c r="E9" s="2" t="s">
        <v>59</v>
      </c>
      <c r="F9" s="2">
        <v>35</v>
      </c>
      <c r="G9" s="9">
        <v>500</v>
      </c>
      <c r="H9" s="9">
        <v>17500</v>
      </c>
    </row>
    <row r="10" spans="1:16" x14ac:dyDescent="0.3">
      <c r="A10" s="7"/>
      <c r="I10" s="7"/>
    </row>
    <row r="11" spans="1:16" x14ac:dyDescent="0.3">
      <c r="A11" s="7"/>
      <c r="I11" s="7"/>
    </row>
    <row r="12" spans="1:16" x14ac:dyDescent="0.3">
      <c r="A12" s="7"/>
      <c r="I12" s="7"/>
    </row>
    <row r="13" spans="1:16" x14ac:dyDescent="0.3">
      <c r="A13" s="7"/>
      <c r="I13" s="7"/>
    </row>
    <row r="341" spans="8:8" x14ac:dyDescent="0.3">
      <c r="H341" s="9" t="str">
        <f t="shared" ref="H341:H394" si="0">IF(ISBLANK(B341),"",PRODUCT(F341:G341))</f>
        <v/>
      </c>
    </row>
    <row r="342" spans="8:8" x14ac:dyDescent="0.3">
      <c r="H342" s="9" t="str">
        <f t="shared" si="0"/>
        <v/>
      </c>
    </row>
    <row r="343" spans="8:8" x14ac:dyDescent="0.3">
      <c r="H343" s="9" t="str">
        <f t="shared" si="0"/>
        <v/>
      </c>
    </row>
    <row r="344" spans="8:8" x14ac:dyDescent="0.3">
      <c r="H344" s="9" t="str">
        <f t="shared" si="0"/>
        <v/>
      </c>
    </row>
    <row r="345" spans="8:8" x14ac:dyDescent="0.3">
      <c r="H345" s="9" t="str">
        <f t="shared" si="0"/>
        <v/>
      </c>
    </row>
    <row r="346" spans="8:8" x14ac:dyDescent="0.3">
      <c r="H346" s="9" t="str">
        <f t="shared" si="0"/>
        <v/>
      </c>
    </row>
    <row r="347" spans="8:8" x14ac:dyDescent="0.3">
      <c r="H347" s="9" t="str">
        <f t="shared" si="0"/>
        <v/>
      </c>
    </row>
    <row r="348" spans="8:8" x14ac:dyDescent="0.3">
      <c r="H348" s="9" t="str">
        <f t="shared" si="0"/>
        <v/>
      </c>
    </row>
    <row r="349" spans="8:8" x14ac:dyDescent="0.3">
      <c r="H349" s="9" t="str">
        <f t="shared" si="0"/>
        <v/>
      </c>
    </row>
    <row r="350" spans="8:8" x14ac:dyDescent="0.3">
      <c r="H350" s="9" t="str">
        <f t="shared" si="0"/>
        <v/>
      </c>
    </row>
    <row r="351" spans="8:8" x14ac:dyDescent="0.3">
      <c r="H351" s="9" t="str">
        <f t="shared" si="0"/>
        <v/>
      </c>
    </row>
    <row r="352" spans="8:8" x14ac:dyDescent="0.3">
      <c r="H352" s="9" t="str">
        <f t="shared" si="0"/>
        <v/>
      </c>
    </row>
    <row r="353" spans="8:8" x14ac:dyDescent="0.3">
      <c r="H353" s="9" t="str">
        <f t="shared" si="0"/>
        <v/>
      </c>
    </row>
    <row r="354" spans="8:8" x14ac:dyDescent="0.3">
      <c r="H354" s="9" t="str">
        <f t="shared" si="0"/>
        <v/>
      </c>
    </row>
    <row r="355" spans="8:8" x14ac:dyDescent="0.3">
      <c r="H355" s="9" t="str">
        <f t="shared" si="0"/>
        <v/>
      </c>
    </row>
    <row r="356" spans="8:8" x14ac:dyDescent="0.3">
      <c r="H356" s="9" t="str">
        <f t="shared" si="0"/>
        <v/>
      </c>
    </row>
    <row r="357" spans="8:8" x14ac:dyDescent="0.3">
      <c r="H357" s="9" t="str">
        <f t="shared" si="0"/>
        <v/>
      </c>
    </row>
    <row r="358" spans="8:8" x14ac:dyDescent="0.3">
      <c r="H358" s="9" t="str">
        <f t="shared" si="0"/>
        <v/>
      </c>
    </row>
    <row r="359" spans="8:8" x14ac:dyDescent="0.3">
      <c r="H359" s="9" t="str">
        <f t="shared" si="0"/>
        <v/>
      </c>
    </row>
    <row r="360" spans="8:8" x14ac:dyDescent="0.3">
      <c r="H360" s="9" t="str">
        <f t="shared" si="0"/>
        <v/>
      </c>
    </row>
    <row r="361" spans="8:8" x14ac:dyDescent="0.3">
      <c r="H361" s="9" t="str">
        <f t="shared" si="0"/>
        <v/>
      </c>
    </row>
    <row r="362" spans="8:8" x14ac:dyDescent="0.3">
      <c r="H362" s="9" t="str">
        <f t="shared" si="0"/>
        <v/>
      </c>
    </row>
    <row r="363" spans="8:8" x14ac:dyDescent="0.3">
      <c r="H363" s="9" t="str">
        <f t="shared" si="0"/>
        <v/>
      </c>
    </row>
    <row r="364" spans="8:8" x14ac:dyDescent="0.3">
      <c r="H364" s="9" t="str">
        <f t="shared" si="0"/>
        <v/>
      </c>
    </row>
    <row r="365" spans="8:8" x14ac:dyDescent="0.3">
      <c r="H365" s="9" t="str">
        <f t="shared" si="0"/>
        <v/>
      </c>
    </row>
    <row r="366" spans="8:8" x14ac:dyDescent="0.3">
      <c r="H366" s="9" t="str">
        <f t="shared" si="0"/>
        <v/>
      </c>
    </row>
    <row r="367" spans="8:8" x14ac:dyDescent="0.3">
      <c r="H367" s="9" t="str">
        <f t="shared" si="0"/>
        <v/>
      </c>
    </row>
    <row r="368" spans="8:8" x14ac:dyDescent="0.3">
      <c r="H368" s="9" t="str">
        <f t="shared" si="0"/>
        <v/>
      </c>
    </row>
    <row r="369" spans="8:8" x14ac:dyDescent="0.3">
      <c r="H369" s="9" t="str">
        <f t="shared" si="0"/>
        <v/>
      </c>
    </row>
    <row r="370" spans="8:8" x14ac:dyDescent="0.3">
      <c r="H370" s="9" t="str">
        <f t="shared" si="0"/>
        <v/>
      </c>
    </row>
    <row r="371" spans="8:8" x14ac:dyDescent="0.3">
      <c r="H371" s="9" t="str">
        <f t="shared" si="0"/>
        <v/>
      </c>
    </row>
    <row r="372" spans="8:8" x14ac:dyDescent="0.3">
      <c r="H372" s="9" t="str">
        <f t="shared" si="0"/>
        <v/>
      </c>
    </row>
    <row r="373" spans="8:8" x14ac:dyDescent="0.3">
      <c r="H373" s="9" t="str">
        <f t="shared" si="0"/>
        <v/>
      </c>
    </row>
    <row r="374" spans="8:8" x14ac:dyDescent="0.3">
      <c r="H374" s="9" t="str">
        <f t="shared" si="0"/>
        <v/>
      </c>
    </row>
    <row r="375" spans="8:8" x14ac:dyDescent="0.3">
      <c r="H375" s="9" t="str">
        <f t="shared" si="0"/>
        <v/>
      </c>
    </row>
    <row r="376" spans="8:8" x14ac:dyDescent="0.3">
      <c r="H376" s="9" t="str">
        <f t="shared" si="0"/>
        <v/>
      </c>
    </row>
    <row r="377" spans="8:8" x14ac:dyDescent="0.3">
      <c r="H377" s="9" t="str">
        <f t="shared" si="0"/>
        <v/>
      </c>
    </row>
    <row r="378" spans="8:8" x14ac:dyDescent="0.3">
      <c r="H378" s="9" t="str">
        <f t="shared" si="0"/>
        <v/>
      </c>
    </row>
    <row r="379" spans="8:8" x14ac:dyDescent="0.3">
      <c r="H379" s="9" t="str">
        <f t="shared" si="0"/>
        <v/>
      </c>
    </row>
    <row r="380" spans="8:8" x14ac:dyDescent="0.3">
      <c r="H380" s="9" t="str">
        <f t="shared" si="0"/>
        <v/>
      </c>
    </row>
    <row r="381" spans="8:8" x14ac:dyDescent="0.3">
      <c r="H381" s="9" t="str">
        <f t="shared" si="0"/>
        <v/>
      </c>
    </row>
    <row r="382" spans="8:8" x14ac:dyDescent="0.3">
      <c r="H382" s="9" t="str">
        <f t="shared" si="0"/>
        <v/>
      </c>
    </row>
    <row r="383" spans="8:8" x14ac:dyDescent="0.3">
      <c r="H383" s="9" t="str">
        <f t="shared" si="0"/>
        <v/>
      </c>
    </row>
    <row r="384" spans="8:8" x14ac:dyDescent="0.3">
      <c r="H384" s="9" t="str">
        <f t="shared" si="0"/>
        <v/>
      </c>
    </row>
    <row r="385" spans="8:8" x14ac:dyDescent="0.3">
      <c r="H385" s="9" t="str">
        <f t="shared" si="0"/>
        <v/>
      </c>
    </row>
    <row r="386" spans="8:8" x14ac:dyDescent="0.3">
      <c r="H386" s="9" t="str">
        <f t="shared" si="0"/>
        <v/>
      </c>
    </row>
    <row r="387" spans="8:8" x14ac:dyDescent="0.3">
      <c r="H387" s="9" t="str">
        <f t="shared" si="0"/>
        <v/>
      </c>
    </row>
    <row r="388" spans="8:8" x14ac:dyDescent="0.3">
      <c r="H388" s="9" t="str">
        <f t="shared" si="0"/>
        <v/>
      </c>
    </row>
    <row r="389" spans="8:8" x14ac:dyDescent="0.3">
      <c r="H389" s="9" t="str">
        <f t="shared" si="0"/>
        <v/>
      </c>
    </row>
    <row r="390" spans="8:8" x14ac:dyDescent="0.3">
      <c r="H390" s="9" t="str">
        <f t="shared" si="0"/>
        <v/>
      </c>
    </row>
    <row r="391" spans="8:8" x14ac:dyDescent="0.3">
      <c r="H391" s="9" t="str">
        <f t="shared" si="0"/>
        <v/>
      </c>
    </row>
    <row r="392" spans="8:8" x14ac:dyDescent="0.3">
      <c r="H392" s="9" t="str">
        <f t="shared" si="0"/>
        <v/>
      </c>
    </row>
    <row r="393" spans="8:8" x14ac:dyDescent="0.3">
      <c r="H393" s="9" t="str">
        <f t="shared" si="0"/>
        <v/>
      </c>
    </row>
    <row r="394" spans="8:8" x14ac:dyDescent="0.3">
      <c r="H394" s="9" t="str">
        <f t="shared" si="0"/>
        <v/>
      </c>
    </row>
    <row r="395" spans="8:8" x14ac:dyDescent="0.3">
      <c r="H395" s="9" t="str">
        <f t="shared" ref="H395:H439" si="1">IF(ISBLANK(B395),"",PRODUCT(F395:G395))</f>
        <v/>
      </c>
    </row>
    <row r="396" spans="8:8" x14ac:dyDescent="0.3">
      <c r="H396" s="9" t="str">
        <f t="shared" si="1"/>
        <v/>
      </c>
    </row>
    <row r="397" spans="8:8" x14ac:dyDescent="0.3">
      <c r="H397" s="9" t="str">
        <f t="shared" si="1"/>
        <v/>
      </c>
    </row>
    <row r="398" spans="8:8" x14ac:dyDescent="0.3">
      <c r="H398" s="9" t="str">
        <f t="shared" si="1"/>
        <v/>
      </c>
    </row>
    <row r="399" spans="8:8" x14ac:dyDescent="0.3">
      <c r="H399" s="9" t="str">
        <f t="shared" si="1"/>
        <v/>
      </c>
    </row>
    <row r="400" spans="8:8" x14ac:dyDescent="0.3">
      <c r="H400" s="9" t="str">
        <f t="shared" si="1"/>
        <v/>
      </c>
    </row>
    <row r="401" spans="8:8" x14ac:dyDescent="0.3">
      <c r="H401" s="9" t="str">
        <f t="shared" si="1"/>
        <v/>
      </c>
    </row>
    <row r="402" spans="8:8" x14ac:dyDescent="0.3">
      <c r="H402" s="9" t="str">
        <f t="shared" si="1"/>
        <v/>
      </c>
    </row>
    <row r="403" spans="8:8" x14ac:dyDescent="0.3">
      <c r="H403" s="9" t="str">
        <f t="shared" si="1"/>
        <v/>
      </c>
    </row>
    <row r="404" spans="8:8" x14ac:dyDescent="0.3">
      <c r="H404" s="9" t="str">
        <f t="shared" si="1"/>
        <v/>
      </c>
    </row>
    <row r="405" spans="8:8" x14ac:dyDescent="0.3">
      <c r="H405" s="9" t="str">
        <f t="shared" si="1"/>
        <v/>
      </c>
    </row>
    <row r="406" spans="8:8" x14ac:dyDescent="0.3">
      <c r="H406" s="9" t="str">
        <f t="shared" si="1"/>
        <v/>
      </c>
    </row>
    <row r="407" spans="8:8" x14ac:dyDescent="0.3">
      <c r="H407" s="9" t="str">
        <f t="shared" si="1"/>
        <v/>
      </c>
    </row>
    <row r="408" spans="8:8" x14ac:dyDescent="0.3">
      <c r="H408" s="9" t="str">
        <f t="shared" si="1"/>
        <v/>
      </c>
    </row>
    <row r="409" spans="8:8" x14ac:dyDescent="0.3">
      <c r="H409" s="9" t="str">
        <f t="shared" si="1"/>
        <v/>
      </c>
    </row>
    <row r="410" spans="8:8" x14ac:dyDescent="0.3">
      <c r="H410" s="9" t="str">
        <f t="shared" si="1"/>
        <v/>
      </c>
    </row>
    <row r="411" spans="8:8" x14ac:dyDescent="0.3">
      <c r="H411" s="9" t="str">
        <f t="shared" si="1"/>
        <v/>
      </c>
    </row>
    <row r="412" spans="8:8" x14ac:dyDescent="0.3">
      <c r="H412" s="9" t="str">
        <f t="shared" si="1"/>
        <v/>
      </c>
    </row>
    <row r="413" spans="8:8" x14ac:dyDescent="0.3">
      <c r="H413" s="9" t="str">
        <f t="shared" si="1"/>
        <v/>
      </c>
    </row>
    <row r="414" spans="8:8" x14ac:dyDescent="0.3">
      <c r="H414" s="9" t="str">
        <f t="shared" si="1"/>
        <v/>
      </c>
    </row>
    <row r="415" spans="8:8" x14ac:dyDescent="0.3">
      <c r="H415" s="9" t="str">
        <f t="shared" si="1"/>
        <v/>
      </c>
    </row>
    <row r="416" spans="8:8" x14ac:dyDescent="0.3">
      <c r="H416" s="9" t="str">
        <f t="shared" si="1"/>
        <v/>
      </c>
    </row>
    <row r="417" spans="8:8" x14ac:dyDescent="0.3">
      <c r="H417" s="9" t="str">
        <f t="shared" si="1"/>
        <v/>
      </c>
    </row>
    <row r="418" spans="8:8" x14ac:dyDescent="0.3">
      <c r="H418" s="9" t="str">
        <f t="shared" si="1"/>
        <v/>
      </c>
    </row>
    <row r="419" spans="8:8" x14ac:dyDescent="0.3">
      <c r="H419" s="9" t="str">
        <f t="shared" si="1"/>
        <v/>
      </c>
    </row>
    <row r="420" spans="8:8" x14ac:dyDescent="0.3">
      <c r="H420" s="9" t="str">
        <f t="shared" si="1"/>
        <v/>
      </c>
    </row>
    <row r="421" spans="8:8" x14ac:dyDescent="0.3">
      <c r="H421" s="9" t="str">
        <f t="shared" si="1"/>
        <v/>
      </c>
    </row>
    <row r="422" spans="8:8" x14ac:dyDescent="0.3">
      <c r="H422" s="9" t="str">
        <f t="shared" si="1"/>
        <v/>
      </c>
    </row>
    <row r="423" spans="8:8" x14ac:dyDescent="0.3">
      <c r="H423" s="9" t="str">
        <f t="shared" si="1"/>
        <v/>
      </c>
    </row>
    <row r="424" spans="8:8" x14ac:dyDescent="0.3">
      <c r="H424" s="9" t="str">
        <f t="shared" si="1"/>
        <v/>
      </c>
    </row>
    <row r="425" spans="8:8" x14ac:dyDescent="0.3">
      <c r="H425" s="9" t="str">
        <f t="shared" si="1"/>
        <v/>
      </c>
    </row>
    <row r="426" spans="8:8" x14ac:dyDescent="0.3">
      <c r="H426" s="9" t="str">
        <f t="shared" si="1"/>
        <v/>
      </c>
    </row>
    <row r="427" spans="8:8" x14ac:dyDescent="0.3">
      <c r="H427" s="9" t="str">
        <f t="shared" si="1"/>
        <v/>
      </c>
    </row>
    <row r="428" spans="8:8" x14ac:dyDescent="0.3">
      <c r="H428" s="9" t="str">
        <f t="shared" si="1"/>
        <v/>
      </c>
    </row>
    <row r="429" spans="8:8" x14ac:dyDescent="0.3">
      <c r="H429" s="9" t="str">
        <f t="shared" si="1"/>
        <v/>
      </c>
    </row>
    <row r="430" spans="8:8" x14ac:dyDescent="0.3">
      <c r="H430" s="9" t="str">
        <f t="shared" si="1"/>
        <v/>
      </c>
    </row>
    <row r="431" spans="8:8" x14ac:dyDescent="0.3">
      <c r="H431" s="9" t="str">
        <f t="shared" si="1"/>
        <v/>
      </c>
    </row>
    <row r="432" spans="8:8" x14ac:dyDescent="0.3">
      <c r="H432" s="9" t="str">
        <f t="shared" si="1"/>
        <v/>
      </c>
    </row>
    <row r="433" spans="8:8" x14ac:dyDescent="0.3">
      <c r="H433" s="9" t="str">
        <f t="shared" si="1"/>
        <v/>
      </c>
    </row>
    <row r="434" spans="8:8" x14ac:dyDescent="0.3">
      <c r="H434" s="9" t="str">
        <f t="shared" si="1"/>
        <v/>
      </c>
    </row>
    <row r="435" spans="8:8" x14ac:dyDescent="0.3">
      <c r="H435" s="9" t="str">
        <f t="shared" si="1"/>
        <v/>
      </c>
    </row>
    <row r="436" spans="8:8" x14ac:dyDescent="0.3">
      <c r="H436" s="9" t="str">
        <f t="shared" si="1"/>
        <v/>
      </c>
    </row>
    <row r="437" spans="8:8" x14ac:dyDescent="0.3">
      <c r="H437" s="9" t="str">
        <f t="shared" si="1"/>
        <v/>
      </c>
    </row>
    <row r="438" spans="8:8" x14ac:dyDescent="0.3">
      <c r="H438" s="9" t="str">
        <f t="shared" si="1"/>
        <v/>
      </c>
    </row>
    <row r="439" spans="8:8" x14ac:dyDescent="0.3">
      <c r="H439" s="9" t="str">
        <f t="shared" si="1"/>
        <v/>
      </c>
    </row>
    <row r="440" spans="8:8" x14ac:dyDescent="0.3">
      <c r="H440" s="9" t="str">
        <f t="shared" ref="H440:H458" si="2">IF(ISBLANK(B440),"",F440*G440)</f>
        <v/>
      </c>
    </row>
    <row r="441" spans="8:8" x14ac:dyDescent="0.3">
      <c r="H441" s="9" t="str">
        <f t="shared" si="2"/>
        <v/>
      </c>
    </row>
    <row r="442" spans="8:8" x14ac:dyDescent="0.3">
      <c r="H442" s="9" t="str">
        <f t="shared" si="2"/>
        <v/>
      </c>
    </row>
    <row r="443" spans="8:8" x14ac:dyDescent="0.3">
      <c r="H443" s="9" t="str">
        <f t="shared" si="2"/>
        <v/>
      </c>
    </row>
    <row r="444" spans="8:8" x14ac:dyDescent="0.3">
      <c r="H444" s="9" t="str">
        <f t="shared" si="2"/>
        <v/>
      </c>
    </row>
    <row r="445" spans="8:8" x14ac:dyDescent="0.3">
      <c r="H445" s="9" t="str">
        <f t="shared" si="2"/>
        <v/>
      </c>
    </row>
    <row r="446" spans="8:8" x14ac:dyDescent="0.3">
      <c r="H446" s="9" t="str">
        <f t="shared" si="2"/>
        <v/>
      </c>
    </row>
    <row r="447" spans="8:8" x14ac:dyDescent="0.3">
      <c r="H447" s="9" t="str">
        <f t="shared" si="2"/>
        <v/>
      </c>
    </row>
    <row r="448" spans="8:8" x14ac:dyDescent="0.3">
      <c r="H448" s="9" t="str">
        <f t="shared" si="2"/>
        <v/>
      </c>
    </row>
    <row r="449" spans="8:8" x14ac:dyDescent="0.3">
      <c r="H449" s="9" t="str">
        <f t="shared" si="2"/>
        <v/>
      </c>
    </row>
    <row r="450" spans="8:8" x14ac:dyDescent="0.3">
      <c r="H450" s="9" t="str">
        <f t="shared" si="2"/>
        <v/>
      </c>
    </row>
    <row r="451" spans="8:8" x14ac:dyDescent="0.3">
      <c r="H451" s="9" t="str">
        <f t="shared" si="2"/>
        <v/>
      </c>
    </row>
    <row r="452" spans="8:8" x14ac:dyDescent="0.3">
      <c r="H452" s="9" t="str">
        <f t="shared" si="2"/>
        <v/>
      </c>
    </row>
    <row r="453" spans="8:8" x14ac:dyDescent="0.3">
      <c r="H453" s="9" t="str">
        <f t="shared" si="2"/>
        <v/>
      </c>
    </row>
    <row r="454" spans="8:8" x14ac:dyDescent="0.3">
      <c r="H454" s="9" t="str">
        <f t="shared" si="2"/>
        <v/>
      </c>
    </row>
    <row r="455" spans="8:8" x14ac:dyDescent="0.3">
      <c r="H455" s="9" t="str">
        <f t="shared" si="2"/>
        <v/>
      </c>
    </row>
    <row r="456" spans="8:8" x14ac:dyDescent="0.3">
      <c r="H456" s="9" t="str">
        <f t="shared" si="2"/>
        <v/>
      </c>
    </row>
    <row r="457" spans="8:8" x14ac:dyDescent="0.3">
      <c r="H457" s="9" t="str">
        <f t="shared" si="2"/>
        <v/>
      </c>
    </row>
    <row r="458" spans="8:8" x14ac:dyDescent="0.3">
      <c r="H458" s="9" t="str">
        <f t="shared" si="2"/>
        <v/>
      </c>
    </row>
    <row r="459" spans="8:8" x14ac:dyDescent="0.3">
      <c r="H459" s="9" t="str">
        <f t="shared" ref="H459:H522" si="3">IF(ISBLANK(B459),"",F459*G459)</f>
        <v/>
      </c>
    </row>
    <row r="460" spans="8:8" x14ac:dyDescent="0.3">
      <c r="H460" s="9" t="str">
        <f t="shared" si="3"/>
        <v/>
      </c>
    </row>
    <row r="461" spans="8:8" x14ac:dyDescent="0.3">
      <c r="H461" s="9" t="str">
        <f t="shared" si="3"/>
        <v/>
      </c>
    </row>
    <row r="462" spans="8:8" x14ac:dyDescent="0.3">
      <c r="H462" s="9" t="str">
        <f t="shared" si="3"/>
        <v/>
      </c>
    </row>
    <row r="463" spans="8:8" x14ac:dyDescent="0.3">
      <c r="H463" s="9" t="str">
        <f t="shared" si="3"/>
        <v/>
      </c>
    </row>
    <row r="464" spans="8:8" x14ac:dyDescent="0.3">
      <c r="H464" s="9" t="str">
        <f t="shared" si="3"/>
        <v/>
      </c>
    </row>
    <row r="465" spans="8:8" x14ac:dyDescent="0.3">
      <c r="H465" s="9" t="str">
        <f t="shared" si="3"/>
        <v/>
      </c>
    </row>
    <row r="466" spans="8:8" x14ac:dyDescent="0.3">
      <c r="H466" s="9" t="str">
        <f t="shared" si="3"/>
        <v/>
      </c>
    </row>
    <row r="467" spans="8:8" x14ac:dyDescent="0.3">
      <c r="H467" s="9" t="str">
        <f t="shared" si="3"/>
        <v/>
      </c>
    </row>
    <row r="468" spans="8:8" x14ac:dyDescent="0.3">
      <c r="H468" s="9" t="str">
        <f t="shared" si="3"/>
        <v/>
      </c>
    </row>
    <row r="469" spans="8:8" x14ac:dyDescent="0.3">
      <c r="H469" s="9" t="str">
        <f t="shared" si="3"/>
        <v/>
      </c>
    </row>
    <row r="470" spans="8:8" x14ac:dyDescent="0.3">
      <c r="H470" s="9" t="str">
        <f t="shared" si="3"/>
        <v/>
      </c>
    </row>
    <row r="471" spans="8:8" x14ac:dyDescent="0.3">
      <c r="H471" s="9" t="str">
        <f t="shared" si="3"/>
        <v/>
      </c>
    </row>
    <row r="472" spans="8:8" x14ac:dyDescent="0.3">
      <c r="H472" s="9" t="str">
        <f t="shared" si="3"/>
        <v/>
      </c>
    </row>
    <row r="473" spans="8:8" x14ac:dyDescent="0.3">
      <c r="H473" s="9" t="str">
        <f t="shared" si="3"/>
        <v/>
      </c>
    </row>
    <row r="474" spans="8:8" x14ac:dyDescent="0.3">
      <c r="H474" s="9" t="str">
        <f t="shared" si="3"/>
        <v/>
      </c>
    </row>
    <row r="475" spans="8:8" x14ac:dyDescent="0.3">
      <c r="H475" s="9" t="str">
        <f t="shared" si="3"/>
        <v/>
      </c>
    </row>
    <row r="476" spans="8:8" x14ac:dyDescent="0.3">
      <c r="H476" s="9" t="str">
        <f t="shared" si="3"/>
        <v/>
      </c>
    </row>
    <row r="477" spans="8:8" x14ac:dyDescent="0.3">
      <c r="H477" s="9" t="str">
        <f t="shared" si="3"/>
        <v/>
      </c>
    </row>
    <row r="478" spans="8:8" x14ac:dyDescent="0.3">
      <c r="H478" s="9" t="str">
        <f t="shared" si="3"/>
        <v/>
      </c>
    </row>
    <row r="479" spans="8:8" x14ac:dyDescent="0.3">
      <c r="H479" s="9" t="str">
        <f t="shared" si="3"/>
        <v/>
      </c>
    </row>
    <row r="480" spans="8:8" x14ac:dyDescent="0.3">
      <c r="H480" s="9" t="str">
        <f t="shared" si="3"/>
        <v/>
      </c>
    </row>
    <row r="481" spans="8:8" x14ac:dyDescent="0.3">
      <c r="H481" s="9" t="str">
        <f t="shared" si="3"/>
        <v/>
      </c>
    </row>
    <row r="482" spans="8:8" x14ac:dyDescent="0.3">
      <c r="H482" s="9" t="str">
        <f t="shared" si="3"/>
        <v/>
      </c>
    </row>
    <row r="483" spans="8:8" x14ac:dyDescent="0.3">
      <c r="H483" s="9" t="str">
        <f t="shared" si="3"/>
        <v/>
      </c>
    </row>
    <row r="484" spans="8:8" x14ac:dyDescent="0.3">
      <c r="H484" s="9" t="str">
        <f t="shared" si="3"/>
        <v/>
      </c>
    </row>
    <row r="485" spans="8:8" x14ac:dyDescent="0.3">
      <c r="H485" s="9" t="str">
        <f t="shared" si="3"/>
        <v/>
      </c>
    </row>
    <row r="486" spans="8:8" x14ac:dyDescent="0.3">
      <c r="H486" s="9" t="str">
        <f t="shared" si="3"/>
        <v/>
      </c>
    </row>
    <row r="487" spans="8:8" x14ac:dyDescent="0.3">
      <c r="H487" s="9" t="str">
        <f t="shared" si="3"/>
        <v/>
      </c>
    </row>
    <row r="488" spans="8:8" x14ac:dyDescent="0.3">
      <c r="H488" s="9" t="str">
        <f t="shared" si="3"/>
        <v/>
      </c>
    </row>
    <row r="489" spans="8:8" x14ac:dyDescent="0.3">
      <c r="H489" s="9" t="str">
        <f t="shared" si="3"/>
        <v/>
      </c>
    </row>
    <row r="490" spans="8:8" x14ac:dyDescent="0.3">
      <c r="H490" s="9" t="str">
        <f t="shared" si="3"/>
        <v/>
      </c>
    </row>
    <row r="491" spans="8:8" x14ac:dyDescent="0.3">
      <c r="H491" s="9" t="str">
        <f t="shared" si="3"/>
        <v/>
      </c>
    </row>
    <row r="492" spans="8:8" x14ac:dyDescent="0.3">
      <c r="H492" s="9" t="str">
        <f t="shared" si="3"/>
        <v/>
      </c>
    </row>
    <row r="493" spans="8:8" x14ac:dyDescent="0.3">
      <c r="H493" s="9" t="str">
        <f t="shared" si="3"/>
        <v/>
      </c>
    </row>
    <row r="494" spans="8:8" x14ac:dyDescent="0.3">
      <c r="H494" s="9" t="str">
        <f t="shared" si="3"/>
        <v/>
      </c>
    </row>
    <row r="495" spans="8:8" x14ac:dyDescent="0.3">
      <c r="H495" s="9" t="str">
        <f t="shared" si="3"/>
        <v/>
      </c>
    </row>
    <row r="496" spans="8:8" x14ac:dyDescent="0.3">
      <c r="H496" s="9" t="str">
        <f t="shared" si="3"/>
        <v/>
      </c>
    </row>
    <row r="497" spans="8:8" x14ac:dyDescent="0.3">
      <c r="H497" s="9" t="str">
        <f t="shared" si="3"/>
        <v/>
      </c>
    </row>
    <row r="498" spans="8:8" x14ac:dyDescent="0.3">
      <c r="H498" s="9" t="str">
        <f t="shared" si="3"/>
        <v/>
      </c>
    </row>
    <row r="499" spans="8:8" x14ac:dyDescent="0.3">
      <c r="H499" s="9" t="str">
        <f t="shared" si="3"/>
        <v/>
      </c>
    </row>
    <row r="500" spans="8:8" x14ac:dyDescent="0.3">
      <c r="H500" s="9" t="str">
        <f t="shared" si="3"/>
        <v/>
      </c>
    </row>
    <row r="501" spans="8:8" x14ac:dyDescent="0.3">
      <c r="H501" s="9" t="str">
        <f t="shared" si="3"/>
        <v/>
      </c>
    </row>
    <row r="502" spans="8:8" x14ac:dyDescent="0.3">
      <c r="H502" s="9" t="str">
        <f t="shared" si="3"/>
        <v/>
      </c>
    </row>
    <row r="503" spans="8:8" x14ac:dyDescent="0.3">
      <c r="H503" s="9" t="str">
        <f t="shared" si="3"/>
        <v/>
      </c>
    </row>
    <row r="504" spans="8:8" x14ac:dyDescent="0.3">
      <c r="H504" s="9" t="str">
        <f t="shared" si="3"/>
        <v/>
      </c>
    </row>
    <row r="505" spans="8:8" x14ac:dyDescent="0.3">
      <c r="H505" s="9" t="str">
        <f t="shared" si="3"/>
        <v/>
      </c>
    </row>
    <row r="506" spans="8:8" x14ac:dyDescent="0.3">
      <c r="H506" s="9" t="str">
        <f t="shared" si="3"/>
        <v/>
      </c>
    </row>
    <row r="507" spans="8:8" x14ac:dyDescent="0.3">
      <c r="H507" s="9" t="str">
        <f t="shared" si="3"/>
        <v/>
      </c>
    </row>
    <row r="508" spans="8:8" x14ac:dyDescent="0.3">
      <c r="H508" s="9" t="str">
        <f t="shared" si="3"/>
        <v/>
      </c>
    </row>
    <row r="509" spans="8:8" x14ac:dyDescent="0.3">
      <c r="H509" s="9" t="str">
        <f t="shared" si="3"/>
        <v/>
      </c>
    </row>
    <row r="510" spans="8:8" x14ac:dyDescent="0.3">
      <c r="H510" s="9" t="str">
        <f t="shared" si="3"/>
        <v/>
      </c>
    </row>
    <row r="511" spans="8:8" x14ac:dyDescent="0.3">
      <c r="H511" s="9" t="str">
        <f t="shared" si="3"/>
        <v/>
      </c>
    </row>
    <row r="512" spans="8:8" x14ac:dyDescent="0.3">
      <c r="H512" s="9" t="str">
        <f t="shared" si="3"/>
        <v/>
      </c>
    </row>
    <row r="513" spans="8:8" x14ac:dyDescent="0.3">
      <c r="H513" s="9" t="str">
        <f t="shared" si="3"/>
        <v/>
      </c>
    </row>
    <row r="514" spans="8:8" x14ac:dyDescent="0.3">
      <c r="H514" s="9" t="str">
        <f t="shared" si="3"/>
        <v/>
      </c>
    </row>
    <row r="515" spans="8:8" x14ac:dyDescent="0.3">
      <c r="H515" s="9" t="str">
        <f t="shared" si="3"/>
        <v/>
      </c>
    </row>
    <row r="516" spans="8:8" x14ac:dyDescent="0.3">
      <c r="H516" s="9" t="str">
        <f t="shared" si="3"/>
        <v/>
      </c>
    </row>
    <row r="517" spans="8:8" x14ac:dyDescent="0.3">
      <c r="H517" s="9" t="str">
        <f t="shared" si="3"/>
        <v/>
      </c>
    </row>
    <row r="518" spans="8:8" x14ac:dyDescent="0.3">
      <c r="H518" s="9" t="str">
        <f t="shared" si="3"/>
        <v/>
      </c>
    </row>
    <row r="519" spans="8:8" x14ac:dyDescent="0.3">
      <c r="H519" s="9" t="str">
        <f t="shared" si="3"/>
        <v/>
      </c>
    </row>
    <row r="520" spans="8:8" x14ac:dyDescent="0.3">
      <c r="H520" s="9" t="str">
        <f t="shared" si="3"/>
        <v/>
      </c>
    </row>
    <row r="521" spans="8:8" x14ac:dyDescent="0.3">
      <c r="H521" s="9" t="str">
        <f t="shared" si="3"/>
        <v/>
      </c>
    </row>
    <row r="522" spans="8:8" x14ac:dyDescent="0.3">
      <c r="H522" s="9" t="str">
        <f t="shared" si="3"/>
        <v/>
      </c>
    </row>
    <row r="523" spans="8:8" x14ac:dyDescent="0.3">
      <c r="H523" s="9" t="str">
        <f t="shared" ref="H523:H539" si="4">IF(ISBLANK(B523),"",F523*G523)</f>
        <v/>
      </c>
    </row>
    <row r="524" spans="8:8" x14ac:dyDescent="0.3">
      <c r="H524" s="9" t="str">
        <f t="shared" si="4"/>
        <v/>
      </c>
    </row>
    <row r="525" spans="8:8" x14ac:dyDescent="0.3">
      <c r="H525" s="9" t="str">
        <f t="shared" si="4"/>
        <v/>
      </c>
    </row>
    <row r="526" spans="8:8" x14ac:dyDescent="0.3">
      <c r="H526" s="9" t="str">
        <f t="shared" si="4"/>
        <v/>
      </c>
    </row>
    <row r="527" spans="8:8" x14ac:dyDescent="0.3">
      <c r="H527" s="9" t="str">
        <f t="shared" si="4"/>
        <v/>
      </c>
    </row>
    <row r="528" spans="8:8" x14ac:dyDescent="0.3">
      <c r="H528" s="9" t="str">
        <f t="shared" si="4"/>
        <v/>
      </c>
    </row>
    <row r="529" spans="8:8" x14ac:dyDescent="0.3">
      <c r="H529" s="9" t="str">
        <f t="shared" si="4"/>
        <v/>
      </c>
    </row>
    <row r="530" spans="8:8" x14ac:dyDescent="0.3">
      <c r="H530" s="9" t="str">
        <f t="shared" si="4"/>
        <v/>
      </c>
    </row>
    <row r="531" spans="8:8" x14ac:dyDescent="0.3">
      <c r="H531" s="9" t="str">
        <f t="shared" si="4"/>
        <v/>
      </c>
    </row>
    <row r="532" spans="8:8" x14ac:dyDescent="0.3">
      <c r="H532" s="9" t="str">
        <f t="shared" si="4"/>
        <v/>
      </c>
    </row>
    <row r="533" spans="8:8" x14ac:dyDescent="0.3">
      <c r="H533" s="9" t="str">
        <f t="shared" si="4"/>
        <v/>
      </c>
    </row>
    <row r="534" spans="8:8" x14ac:dyDescent="0.3">
      <c r="H534" s="9" t="str">
        <f t="shared" si="4"/>
        <v/>
      </c>
    </row>
    <row r="535" spans="8:8" x14ac:dyDescent="0.3">
      <c r="H535" s="9" t="str">
        <f t="shared" si="4"/>
        <v/>
      </c>
    </row>
    <row r="536" spans="8:8" x14ac:dyDescent="0.3">
      <c r="H536" s="9" t="str">
        <f t="shared" si="4"/>
        <v/>
      </c>
    </row>
    <row r="537" spans="8:8" x14ac:dyDescent="0.3">
      <c r="H537" s="9" t="str">
        <f t="shared" si="4"/>
        <v/>
      </c>
    </row>
    <row r="538" spans="8:8" x14ac:dyDescent="0.3">
      <c r="H538" s="9" t="str">
        <f t="shared" si="4"/>
        <v/>
      </c>
    </row>
    <row r="539" spans="8:8" x14ac:dyDescent="0.3">
      <c r="H539" s="9" t="str">
        <f t="shared" si="4"/>
        <v/>
      </c>
    </row>
  </sheetData>
  <phoneticPr fontId="1" type="noConversion"/>
  <conditionalFormatting sqref="A1:I1048576">
    <cfRule type="expression" dxfId="14" priority="1">
      <formula>$A1&lt;&gt;""</formula>
    </cfRule>
  </conditionalFormatting>
  <dataValidations count="1">
    <dataValidation type="date" allowBlank="1" showInputMessage="1" showErrorMessage="1" errorTitle="납품일오류" error="납품일은 발주일보다 이전일 수 업습니다." sqref="I2:I598" xr:uid="{00000000-0002-0000-0300-000000000000}">
      <formula1>$A2</formula1>
      <formula2>$I2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10</xdr:col>
                <xdr:colOff>28575</xdr:colOff>
                <xdr:row>1</xdr:row>
                <xdr:rowOff>123825</xdr:rowOff>
              </from>
              <to>
                <xdr:col>12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L23"/>
  <sheetViews>
    <sheetView zoomScaleNormal="100" workbookViewId="0">
      <selection activeCell="K16" sqref="K16"/>
    </sheetView>
  </sheetViews>
  <sheetFormatPr defaultRowHeight="16.5" x14ac:dyDescent="0.3"/>
  <cols>
    <col min="1" max="1" width="9" style="1"/>
    <col min="2" max="5" width="12.875" style="1" customWidth="1"/>
    <col min="6" max="6" width="18.125" style="1" customWidth="1"/>
    <col min="7" max="7" width="12.875" style="1" customWidth="1"/>
    <col min="8" max="8" width="14.625" style="1" customWidth="1"/>
    <col min="9" max="16384" width="9" style="1"/>
  </cols>
  <sheetData>
    <row r="1" spans="2:12" ht="17.25" thickBot="1" x14ac:dyDescent="0.35"/>
    <row r="2" spans="2:12" x14ac:dyDescent="0.3">
      <c r="B2" s="49" t="s">
        <v>91</v>
      </c>
      <c r="C2" s="50"/>
      <c r="D2" s="50"/>
      <c r="E2" s="51"/>
      <c r="F2" s="20" t="s">
        <v>72</v>
      </c>
      <c r="G2" s="59" t="s">
        <v>92</v>
      </c>
      <c r="H2" s="60"/>
    </row>
    <row r="3" spans="2:12" x14ac:dyDescent="0.3">
      <c r="B3" s="52"/>
      <c r="C3" s="53"/>
      <c r="D3" s="53"/>
      <c r="E3" s="54"/>
      <c r="F3" s="22" t="s">
        <v>73</v>
      </c>
      <c r="G3" s="57" t="s">
        <v>93</v>
      </c>
      <c r="H3" s="58"/>
    </row>
    <row r="4" spans="2:12" x14ac:dyDescent="0.3">
      <c r="B4" s="52"/>
      <c r="C4" s="53"/>
      <c r="D4" s="53"/>
      <c r="E4" s="54"/>
      <c r="F4" s="22" t="s">
        <v>74</v>
      </c>
      <c r="G4" s="57" t="s">
        <v>94</v>
      </c>
      <c r="H4" s="58"/>
    </row>
    <row r="5" spans="2:12" x14ac:dyDescent="0.3">
      <c r="B5" s="52"/>
      <c r="C5" s="53"/>
      <c r="D5" s="53"/>
      <c r="E5" s="54"/>
      <c r="F5" s="22" t="s">
        <v>75</v>
      </c>
      <c r="G5" s="57" t="s">
        <v>95</v>
      </c>
      <c r="H5" s="58"/>
    </row>
    <row r="6" spans="2:12" x14ac:dyDescent="0.3">
      <c r="B6" s="15" t="s">
        <v>78</v>
      </c>
      <c r="C6" s="30">
        <f>발주리스트!P1</f>
        <v>43105</v>
      </c>
      <c r="D6" s="21" t="s">
        <v>79</v>
      </c>
      <c r="E6" s="11" t="str">
        <f>발주리스트!P2</f>
        <v>강화공업</v>
      </c>
      <c r="F6" s="22" t="s">
        <v>76</v>
      </c>
      <c r="G6" s="57" t="s">
        <v>96</v>
      </c>
      <c r="H6" s="58"/>
    </row>
    <row r="7" spans="2:12" x14ac:dyDescent="0.3">
      <c r="B7" s="15" t="s">
        <v>80</v>
      </c>
      <c r="C7" s="10" t="str">
        <f ca="1">VLOOKUP(E6,주문서,2,0)</f>
        <v>김○○</v>
      </c>
      <c r="D7" s="21" t="s">
        <v>77</v>
      </c>
      <c r="E7" s="11" t="str">
        <f ca="1">VLOOKUP(E6,주문서,3,0)</f>
        <v>02-703-0557</v>
      </c>
      <c r="F7" s="22" t="s">
        <v>77</v>
      </c>
      <c r="G7" s="57" t="s">
        <v>97</v>
      </c>
      <c r="H7" s="58"/>
    </row>
    <row r="8" spans="2:12" ht="17.25" thickBot="1" x14ac:dyDescent="0.35">
      <c r="B8" s="16" t="s">
        <v>81</v>
      </c>
      <c r="C8" s="17" t="s">
        <v>82</v>
      </c>
      <c r="D8" s="17" t="s">
        <v>83</v>
      </c>
      <c r="E8" s="18" t="s">
        <v>84</v>
      </c>
      <c r="F8" s="19" t="s">
        <v>85</v>
      </c>
      <c r="G8" s="17" t="s">
        <v>86</v>
      </c>
      <c r="H8" s="18" t="s">
        <v>87</v>
      </c>
    </row>
    <row r="9" spans="2:12" x14ac:dyDescent="0.3">
      <c r="B9" s="12" t="str">
        <f>IF(ISBLANK(C9),"",ROW(C9)-8)</f>
        <v/>
      </c>
      <c r="C9" s="13"/>
      <c r="D9" s="13"/>
      <c r="E9" s="13"/>
      <c r="F9" s="23"/>
      <c r="G9" s="23"/>
      <c r="H9" s="14"/>
    </row>
    <row r="10" spans="2:12" x14ac:dyDescent="0.3">
      <c r="B10" s="12" t="str">
        <f t="shared" ref="B10:B18" si="0">IF(ISBLANK(C10),"",ROW(C10)-8)</f>
        <v/>
      </c>
      <c r="C10" s="10"/>
      <c r="D10" s="10"/>
      <c r="E10" s="10"/>
      <c r="F10" s="24" t="s">
        <v>118</v>
      </c>
      <c r="G10" s="24"/>
      <c r="H10" s="11"/>
    </row>
    <row r="11" spans="2:12" x14ac:dyDescent="0.3">
      <c r="B11" s="12" t="str">
        <f t="shared" si="0"/>
        <v/>
      </c>
      <c r="C11" s="10"/>
      <c r="D11" s="10"/>
      <c r="E11" s="10"/>
      <c r="F11" s="24"/>
      <c r="G11" s="24"/>
      <c r="H11" s="11"/>
    </row>
    <row r="12" spans="2:12" x14ac:dyDescent="0.3">
      <c r="B12" s="12" t="str">
        <f t="shared" si="0"/>
        <v/>
      </c>
      <c r="C12" s="10"/>
      <c r="D12" s="10"/>
      <c r="E12" s="10"/>
      <c r="F12" s="24"/>
      <c r="G12" s="24"/>
      <c r="H12" s="11"/>
    </row>
    <row r="13" spans="2:12" x14ac:dyDescent="0.3">
      <c r="B13" s="12" t="str">
        <f t="shared" si="0"/>
        <v/>
      </c>
      <c r="C13" s="10"/>
      <c r="D13" s="10"/>
      <c r="E13" s="10"/>
      <c r="F13" s="24"/>
      <c r="G13" s="24"/>
      <c r="H13" s="11"/>
    </row>
    <row r="14" spans="2:12" x14ac:dyDescent="0.3">
      <c r="B14" s="12" t="str">
        <f t="shared" si="0"/>
        <v/>
      </c>
      <c r="C14" s="10"/>
      <c r="D14" s="10"/>
      <c r="E14" s="10"/>
      <c r="F14" s="24"/>
      <c r="G14" s="24"/>
      <c r="H14" s="11"/>
    </row>
    <row r="15" spans="2:12" x14ac:dyDescent="0.3">
      <c r="B15" s="12" t="str">
        <f t="shared" si="0"/>
        <v/>
      </c>
      <c r="C15" s="10"/>
      <c r="D15" s="10"/>
      <c r="E15" s="10"/>
      <c r="F15" s="24"/>
      <c r="G15" s="24"/>
      <c r="H15" s="11"/>
    </row>
    <row r="16" spans="2:12" x14ac:dyDescent="0.3">
      <c r="B16" s="12" t="str">
        <f t="shared" si="0"/>
        <v/>
      </c>
      <c r="C16" s="10"/>
      <c r="D16" s="10"/>
      <c r="E16" s="10"/>
      <c r="F16" s="24"/>
      <c r="G16" s="24"/>
      <c r="H16" s="11"/>
    </row>
    <row r="17" spans="2:8" x14ac:dyDescent="0.3">
      <c r="B17" s="12" t="str">
        <f t="shared" si="0"/>
        <v/>
      </c>
      <c r="C17" s="10"/>
      <c r="D17" s="10"/>
      <c r="E17" s="10"/>
      <c r="F17" s="24"/>
      <c r="G17" s="24"/>
      <c r="H17" s="11"/>
    </row>
    <row r="18" spans="2:8" x14ac:dyDescent="0.3">
      <c r="B18" s="12" t="str">
        <f t="shared" si="0"/>
        <v/>
      </c>
      <c r="C18" s="10"/>
      <c r="D18" s="10"/>
      <c r="E18" s="10"/>
      <c r="F18" s="24"/>
      <c r="G18" s="26"/>
      <c r="H18" s="11"/>
    </row>
    <row r="19" spans="2:8" x14ac:dyDescent="0.3">
      <c r="B19" s="55" t="s">
        <v>88</v>
      </c>
      <c r="C19" s="56"/>
      <c r="D19" s="56"/>
      <c r="E19" s="56"/>
      <c r="F19" s="28" t="s">
        <v>90</v>
      </c>
      <c r="G19" s="27"/>
      <c r="H19" s="25">
        <f>SUM(G9:G18)</f>
        <v>0</v>
      </c>
    </row>
    <row r="20" spans="2:8" x14ac:dyDescent="0.3">
      <c r="B20" s="37" t="s">
        <v>89</v>
      </c>
      <c r="C20" s="40"/>
      <c r="D20" s="41"/>
      <c r="E20" s="41"/>
      <c r="F20" s="41"/>
      <c r="G20" s="42"/>
      <c r="H20" s="43"/>
    </row>
    <row r="21" spans="2:8" x14ac:dyDescent="0.3">
      <c r="B21" s="38"/>
      <c r="C21" s="44"/>
      <c r="D21" s="42"/>
      <c r="E21" s="42"/>
      <c r="F21" s="42"/>
      <c r="G21" s="42"/>
      <c r="H21" s="45"/>
    </row>
    <row r="22" spans="2:8" x14ac:dyDescent="0.3">
      <c r="B22" s="38"/>
      <c r="C22" s="44"/>
      <c r="D22" s="42"/>
      <c r="E22" s="42"/>
      <c r="F22" s="42"/>
      <c r="G22" s="42"/>
      <c r="H22" s="45"/>
    </row>
    <row r="23" spans="2:8" ht="17.25" thickBot="1" x14ac:dyDescent="0.35">
      <c r="B23" s="39"/>
      <c r="C23" s="46"/>
      <c r="D23" s="47"/>
      <c r="E23" s="47"/>
      <c r="F23" s="47"/>
      <c r="G23" s="47"/>
      <c r="H23" s="48"/>
    </row>
  </sheetData>
  <mergeCells count="10">
    <mergeCell ref="B20:B23"/>
    <mergeCell ref="C20:H23"/>
    <mergeCell ref="B2:E5"/>
    <mergeCell ref="B19:E19"/>
    <mergeCell ref="G3:H3"/>
    <mergeCell ref="G2:H2"/>
    <mergeCell ref="G4:H4"/>
    <mergeCell ref="G5:H5"/>
    <mergeCell ref="G6:H6"/>
    <mergeCell ref="G7:H7"/>
  </mergeCells>
  <phoneticPr fontId="1" type="noConversion"/>
  <pageMargins left="0.7" right="0.7" top="0.75" bottom="0.75" header="0.3" footer="0.3"/>
  <pageSetup paperSize="9" scale="72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F88"/>
  <sheetViews>
    <sheetView workbookViewId="0"/>
  </sheetViews>
  <sheetFormatPr defaultRowHeight="16.5" x14ac:dyDescent="0.3"/>
  <cols>
    <col min="1" max="1" width="1.625" style="1" customWidth="1"/>
    <col min="2" max="2" width="11.875" style="1" bestFit="1" customWidth="1"/>
    <col min="3" max="3" width="7.5" style="1" customWidth="1"/>
    <col min="4" max="6" width="11.125" style="1" bestFit="1" customWidth="1"/>
    <col min="7" max="16384" width="9" style="1"/>
  </cols>
  <sheetData>
    <row r="2" spans="2:6" x14ac:dyDescent="0.3">
      <c r="B2" s="31" t="s">
        <v>43</v>
      </c>
      <c r="C2" s="31" t="s">
        <v>45</v>
      </c>
      <c r="D2" t="s">
        <v>102</v>
      </c>
      <c r="E2" t="s">
        <v>103</v>
      </c>
      <c r="F2" t="s">
        <v>104</v>
      </c>
    </row>
    <row r="3" spans="2:6" x14ac:dyDescent="0.3">
      <c r="B3" t="s">
        <v>15</v>
      </c>
      <c r="C3"/>
      <c r="D3" s="34">
        <v>20000</v>
      </c>
      <c r="E3" s="35">
        <v>35</v>
      </c>
      <c r="F3" s="34">
        <v>325000</v>
      </c>
    </row>
    <row r="4" spans="2:6" x14ac:dyDescent="0.3">
      <c r="B4"/>
      <c r="C4" t="s">
        <v>55</v>
      </c>
      <c r="D4" s="34">
        <v>15000</v>
      </c>
      <c r="E4" s="35">
        <v>15</v>
      </c>
      <c r="F4" s="34">
        <v>225000</v>
      </c>
    </row>
    <row r="5" spans="2:6" x14ac:dyDescent="0.3">
      <c r="B5"/>
      <c r="C5" t="s">
        <v>61</v>
      </c>
      <c r="D5" s="34">
        <v>5000</v>
      </c>
      <c r="E5" s="35">
        <v>20</v>
      </c>
      <c r="F5" s="34">
        <v>100000</v>
      </c>
    </row>
    <row r="6" spans="2:6" x14ac:dyDescent="0.3">
      <c r="B6" t="s">
        <v>10</v>
      </c>
      <c r="C6"/>
      <c r="D6" s="34">
        <v>16000</v>
      </c>
      <c r="E6" s="35">
        <v>86</v>
      </c>
      <c r="F6" s="34">
        <v>202500</v>
      </c>
    </row>
    <row r="7" spans="2:6" x14ac:dyDescent="0.3">
      <c r="B7"/>
      <c r="C7" t="s">
        <v>55</v>
      </c>
      <c r="D7" s="34">
        <v>15000</v>
      </c>
      <c r="E7" s="35">
        <v>11</v>
      </c>
      <c r="F7" s="34">
        <v>165000</v>
      </c>
    </row>
    <row r="8" spans="2:6" x14ac:dyDescent="0.3">
      <c r="B8"/>
      <c r="C8" t="s">
        <v>63</v>
      </c>
      <c r="D8" s="34">
        <v>500</v>
      </c>
      <c r="E8" s="35">
        <v>35</v>
      </c>
      <c r="F8" s="34">
        <v>17500</v>
      </c>
    </row>
    <row r="9" spans="2:6" x14ac:dyDescent="0.3">
      <c r="B9"/>
      <c r="C9" t="s">
        <v>58</v>
      </c>
      <c r="D9" s="34">
        <v>500</v>
      </c>
      <c r="E9" s="35">
        <v>40</v>
      </c>
      <c r="F9" s="34">
        <v>20000</v>
      </c>
    </row>
    <row r="10" spans="2:6" x14ac:dyDescent="0.3">
      <c r="B10" t="s">
        <v>14</v>
      </c>
      <c r="C10"/>
      <c r="D10" s="34">
        <v>1000</v>
      </c>
      <c r="E10" s="35">
        <v>80</v>
      </c>
      <c r="F10" s="34">
        <v>40000</v>
      </c>
    </row>
    <row r="11" spans="2:6" x14ac:dyDescent="0.3">
      <c r="B11"/>
      <c r="C11" t="s">
        <v>58</v>
      </c>
      <c r="D11" s="34">
        <v>1000</v>
      </c>
      <c r="E11" s="35">
        <v>80</v>
      </c>
      <c r="F11" s="34">
        <v>40000</v>
      </c>
    </row>
    <row r="12" spans="2:6" x14ac:dyDescent="0.3">
      <c r="B12" t="s">
        <v>6</v>
      </c>
      <c r="C12"/>
      <c r="D12" s="34">
        <v>10000</v>
      </c>
      <c r="E12" s="35">
        <v>10</v>
      </c>
      <c r="F12" s="34">
        <v>100000</v>
      </c>
    </row>
    <row r="13" spans="2:6" x14ac:dyDescent="0.3">
      <c r="B13"/>
      <c r="C13" t="s">
        <v>52</v>
      </c>
      <c r="D13" s="34">
        <v>10000</v>
      </c>
      <c r="E13" s="35">
        <v>10</v>
      </c>
      <c r="F13" s="34">
        <v>100000</v>
      </c>
    </row>
    <row r="14" spans="2:6" x14ac:dyDescent="0.3">
      <c r="B14" t="s">
        <v>101</v>
      </c>
      <c r="C14"/>
      <c r="D14" s="34">
        <v>47000</v>
      </c>
      <c r="E14" s="35">
        <v>211</v>
      </c>
      <c r="F14" s="34">
        <v>667500</v>
      </c>
    </row>
    <row r="15" spans="2:6" x14ac:dyDescent="0.3">
      <c r="B15"/>
      <c r="C15"/>
      <c r="D15"/>
      <c r="E15"/>
      <c r="F15"/>
    </row>
    <row r="16" spans="2:6" x14ac:dyDescent="0.3">
      <c r="B16"/>
      <c r="C16"/>
      <c r="D16"/>
      <c r="E16"/>
      <c r="F16"/>
    </row>
    <row r="17" spans="2:6" x14ac:dyDescent="0.3">
      <c r="B17"/>
      <c r="C17"/>
      <c r="D17"/>
      <c r="E17"/>
      <c r="F17"/>
    </row>
    <row r="18" spans="2:6" x14ac:dyDescent="0.3">
      <c r="B18"/>
      <c r="C18"/>
      <c r="D18"/>
      <c r="E18"/>
      <c r="F18"/>
    </row>
    <row r="19" spans="2:6" x14ac:dyDescent="0.3">
      <c r="B19"/>
      <c r="C19"/>
      <c r="D19"/>
      <c r="E19"/>
      <c r="F19"/>
    </row>
    <row r="20" spans="2:6" x14ac:dyDescent="0.3">
      <c r="B20" s="36"/>
      <c r="C20" s="36"/>
      <c r="D20" s="36"/>
      <c r="E20" s="36"/>
      <c r="F20" s="36"/>
    </row>
    <row r="21" spans="2:6" x14ac:dyDescent="0.3">
      <c r="B21" s="36"/>
      <c r="C21" s="36"/>
      <c r="D21" s="36"/>
      <c r="E21" s="36"/>
      <c r="F21" s="36"/>
    </row>
    <row r="22" spans="2:6" x14ac:dyDescent="0.3">
      <c r="B22" s="36"/>
      <c r="C22" s="36"/>
      <c r="D22" s="36"/>
      <c r="E22" s="36"/>
      <c r="F22" s="36"/>
    </row>
    <row r="23" spans="2:6" x14ac:dyDescent="0.3">
      <c r="B23" s="36"/>
      <c r="C23" s="36"/>
      <c r="D23" s="36"/>
      <c r="E23" s="36"/>
      <c r="F23" s="36"/>
    </row>
    <row r="24" spans="2:6" x14ac:dyDescent="0.3">
      <c r="B24" s="36"/>
      <c r="C24" s="36"/>
      <c r="D24" s="36"/>
      <c r="E24" s="36"/>
      <c r="F24" s="36"/>
    </row>
    <row r="25" spans="2:6" x14ac:dyDescent="0.3">
      <c r="B25" s="36"/>
      <c r="C25" s="36"/>
      <c r="D25" s="36"/>
      <c r="E25" s="36"/>
      <c r="F25" s="36"/>
    </row>
    <row r="26" spans="2:6" x14ac:dyDescent="0.3">
      <c r="B26" s="36"/>
      <c r="C26" s="36"/>
      <c r="D26" s="36"/>
      <c r="E26" s="36"/>
      <c r="F26" s="36"/>
    </row>
    <row r="27" spans="2:6" x14ac:dyDescent="0.3">
      <c r="B27" s="36"/>
      <c r="C27" s="36"/>
      <c r="D27" s="36"/>
      <c r="E27" s="36"/>
      <c r="F27" s="36"/>
    </row>
    <row r="28" spans="2:6" x14ac:dyDescent="0.3">
      <c r="B28" s="36"/>
      <c r="C28" s="36"/>
      <c r="D28" s="36"/>
      <c r="E28" s="36"/>
      <c r="F28" s="36"/>
    </row>
    <row r="29" spans="2:6" x14ac:dyDescent="0.3">
      <c r="B29" s="36"/>
      <c r="C29" s="36"/>
      <c r="D29" s="36"/>
      <c r="E29" s="36"/>
      <c r="F29" s="36"/>
    </row>
    <row r="30" spans="2:6" x14ac:dyDescent="0.3">
      <c r="B30" s="36"/>
      <c r="C30" s="36"/>
      <c r="D30" s="36"/>
      <c r="E30" s="36"/>
      <c r="F30" s="36"/>
    </row>
    <row r="31" spans="2:6" x14ac:dyDescent="0.3">
      <c r="B31" s="36"/>
      <c r="C31" s="36"/>
      <c r="D31" s="36"/>
      <c r="E31" s="36"/>
      <c r="F31" s="36"/>
    </row>
    <row r="32" spans="2:6" x14ac:dyDescent="0.3">
      <c r="B32" s="36"/>
      <c r="C32" s="36"/>
      <c r="D32" s="36"/>
      <c r="E32" s="36"/>
      <c r="F32" s="36"/>
    </row>
    <row r="33" spans="2:6" x14ac:dyDescent="0.3">
      <c r="B33" s="36"/>
      <c r="C33" s="36"/>
      <c r="D33" s="36"/>
      <c r="E33" s="36"/>
      <c r="F33" s="36"/>
    </row>
    <row r="34" spans="2:6" x14ac:dyDescent="0.3">
      <c r="B34" s="36"/>
      <c r="C34" s="36"/>
      <c r="D34" s="36"/>
      <c r="E34" s="36"/>
      <c r="F34" s="36"/>
    </row>
    <row r="35" spans="2:6" x14ac:dyDescent="0.3">
      <c r="B35" s="36"/>
      <c r="C35" s="36"/>
      <c r="D35" s="36"/>
      <c r="E35" s="36"/>
      <c r="F35" s="36"/>
    </row>
    <row r="36" spans="2:6" x14ac:dyDescent="0.3">
      <c r="B36" s="36"/>
      <c r="C36" s="36"/>
      <c r="D36" s="36"/>
      <c r="E36" s="36"/>
      <c r="F36" s="36"/>
    </row>
    <row r="37" spans="2:6" x14ac:dyDescent="0.3">
      <c r="B37" s="36"/>
      <c r="C37" s="36"/>
      <c r="D37" s="36"/>
      <c r="E37" s="36"/>
      <c r="F37" s="36"/>
    </row>
    <row r="38" spans="2:6" x14ac:dyDescent="0.3">
      <c r="B38" s="36"/>
      <c r="C38" s="36"/>
      <c r="D38" s="36"/>
      <c r="E38" s="36"/>
      <c r="F38" s="36"/>
    </row>
    <row r="39" spans="2:6" x14ac:dyDescent="0.3">
      <c r="B39" s="36"/>
      <c r="C39" s="36"/>
      <c r="D39" s="36"/>
      <c r="E39" s="36"/>
      <c r="F39" s="36"/>
    </row>
    <row r="40" spans="2:6" x14ac:dyDescent="0.3">
      <c r="B40" s="36"/>
      <c r="C40" s="36"/>
      <c r="D40" s="36"/>
      <c r="E40" s="36"/>
      <c r="F40" s="36"/>
    </row>
    <row r="41" spans="2:6" x14ac:dyDescent="0.3">
      <c r="B41" s="36"/>
      <c r="C41" s="36"/>
      <c r="D41" s="36"/>
      <c r="E41" s="36"/>
      <c r="F41" s="36"/>
    </row>
    <row r="42" spans="2:6" x14ac:dyDescent="0.3">
      <c r="B42" s="36"/>
      <c r="C42" s="36"/>
      <c r="D42" s="36"/>
      <c r="E42" s="36"/>
      <c r="F42" s="36"/>
    </row>
    <row r="43" spans="2:6" x14ac:dyDescent="0.3">
      <c r="B43" s="36"/>
      <c r="C43" s="36"/>
      <c r="D43" s="36"/>
      <c r="E43" s="36"/>
      <c r="F43" s="36"/>
    </row>
    <row r="44" spans="2:6" x14ac:dyDescent="0.3">
      <c r="B44" s="36"/>
      <c r="C44" s="36"/>
      <c r="D44" s="36"/>
      <c r="E44" s="36"/>
      <c r="F44" s="36"/>
    </row>
    <row r="45" spans="2:6" x14ac:dyDescent="0.3">
      <c r="B45" s="36"/>
      <c r="C45" s="36"/>
      <c r="D45" s="36"/>
      <c r="E45" s="36"/>
      <c r="F45" s="36"/>
    </row>
    <row r="46" spans="2:6" x14ac:dyDescent="0.3">
      <c r="B46" s="36"/>
      <c r="C46" s="36"/>
      <c r="D46" s="36"/>
      <c r="E46" s="36"/>
      <c r="F46" s="36"/>
    </row>
    <row r="47" spans="2:6" x14ac:dyDescent="0.3">
      <c r="B47" s="36"/>
      <c r="C47" s="36"/>
      <c r="D47" s="36"/>
      <c r="E47" s="36"/>
      <c r="F47" s="36"/>
    </row>
    <row r="48" spans="2:6" x14ac:dyDescent="0.3">
      <c r="B48" s="36"/>
      <c r="C48" s="36"/>
      <c r="D48" s="36"/>
      <c r="E48" s="36"/>
      <c r="F48" s="36"/>
    </row>
    <row r="49" spans="2:6" x14ac:dyDescent="0.3">
      <c r="B49" s="36"/>
      <c r="C49" s="36"/>
      <c r="D49" s="36"/>
      <c r="E49" s="36"/>
      <c r="F49" s="36"/>
    </row>
    <row r="50" spans="2:6" x14ac:dyDescent="0.3">
      <c r="B50" s="36"/>
      <c r="C50" s="36"/>
      <c r="D50" s="36"/>
      <c r="E50" s="36"/>
      <c r="F50" s="36"/>
    </row>
    <row r="51" spans="2:6" x14ac:dyDescent="0.3">
      <c r="B51" s="36"/>
      <c r="C51" s="36"/>
      <c r="D51" s="36"/>
      <c r="E51" s="36"/>
      <c r="F51" s="36"/>
    </row>
    <row r="52" spans="2:6" x14ac:dyDescent="0.3">
      <c r="B52" s="36"/>
      <c r="C52" s="36"/>
      <c r="D52" s="36"/>
      <c r="E52" s="36"/>
      <c r="F52" s="36"/>
    </row>
    <row r="53" spans="2:6" x14ac:dyDescent="0.3">
      <c r="B53" s="36"/>
      <c r="C53" s="36"/>
      <c r="D53" s="36"/>
      <c r="E53" s="36"/>
      <c r="F53" s="36"/>
    </row>
    <row r="54" spans="2:6" x14ac:dyDescent="0.3">
      <c r="B54" s="36"/>
      <c r="C54" s="36"/>
      <c r="D54" s="36"/>
      <c r="E54" s="36"/>
      <c r="F54" s="36"/>
    </row>
    <row r="55" spans="2:6" x14ac:dyDescent="0.3">
      <c r="B55" s="36"/>
      <c r="C55" s="36"/>
      <c r="D55" s="36"/>
      <c r="E55" s="36"/>
      <c r="F55" s="36"/>
    </row>
    <row r="56" spans="2:6" x14ac:dyDescent="0.3">
      <c r="B56" s="36"/>
      <c r="C56" s="36"/>
      <c r="D56" s="36"/>
      <c r="E56" s="36"/>
      <c r="F56" s="36"/>
    </row>
    <row r="57" spans="2:6" x14ac:dyDescent="0.3">
      <c r="B57" s="36"/>
      <c r="C57" s="36"/>
      <c r="D57" s="36"/>
      <c r="E57" s="36"/>
      <c r="F57" s="36"/>
    </row>
    <row r="58" spans="2:6" x14ac:dyDescent="0.3">
      <c r="B58" s="36"/>
      <c r="C58" s="36"/>
      <c r="D58" s="36"/>
      <c r="E58" s="36"/>
      <c r="F58" s="36"/>
    </row>
    <row r="59" spans="2:6" x14ac:dyDescent="0.3">
      <c r="B59" s="36"/>
      <c r="C59" s="36"/>
      <c r="D59" s="36"/>
      <c r="E59" s="36"/>
      <c r="F59" s="36"/>
    </row>
    <row r="60" spans="2:6" x14ac:dyDescent="0.3">
      <c r="B60" s="36"/>
      <c r="C60" s="36"/>
      <c r="D60" s="36"/>
      <c r="E60" s="36"/>
      <c r="F60" s="36"/>
    </row>
    <row r="61" spans="2:6" x14ac:dyDescent="0.3">
      <c r="B61" s="36"/>
      <c r="C61" s="36"/>
      <c r="D61" s="36"/>
      <c r="E61" s="36"/>
      <c r="F61" s="36"/>
    </row>
    <row r="62" spans="2:6" x14ac:dyDescent="0.3">
      <c r="B62" s="36"/>
      <c r="C62" s="36"/>
      <c r="D62" s="36"/>
      <c r="E62" s="36"/>
      <c r="F62" s="36"/>
    </row>
    <row r="63" spans="2:6" x14ac:dyDescent="0.3">
      <c r="B63" s="36"/>
      <c r="C63" s="36"/>
      <c r="D63" s="36"/>
      <c r="E63" s="36"/>
      <c r="F63" s="36"/>
    </row>
    <row r="64" spans="2:6" x14ac:dyDescent="0.3">
      <c r="B64" s="36"/>
      <c r="C64" s="36"/>
      <c r="D64" s="36"/>
      <c r="E64" s="36"/>
      <c r="F64" s="36"/>
    </row>
    <row r="65" spans="2:6" x14ac:dyDescent="0.3">
      <c r="B65" s="36"/>
      <c r="C65" s="36"/>
      <c r="D65" s="36"/>
      <c r="E65" s="36"/>
      <c r="F65" s="36"/>
    </row>
    <row r="66" spans="2:6" x14ac:dyDescent="0.3">
      <c r="B66" s="36"/>
      <c r="C66" s="36"/>
      <c r="D66" s="36"/>
      <c r="E66" s="36"/>
      <c r="F66" s="36"/>
    </row>
    <row r="67" spans="2:6" x14ac:dyDescent="0.3">
      <c r="B67" s="36"/>
      <c r="C67" s="36"/>
      <c r="D67" s="36"/>
      <c r="E67" s="36"/>
      <c r="F67" s="36"/>
    </row>
    <row r="68" spans="2:6" x14ac:dyDescent="0.3">
      <c r="B68" s="36"/>
      <c r="C68" s="36"/>
      <c r="D68" s="36"/>
      <c r="E68" s="36"/>
      <c r="F68" s="36"/>
    </row>
    <row r="69" spans="2:6" x14ac:dyDescent="0.3">
      <c r="B69" s="36"/>
      <c r="C69" s="36"/>
      <c r="D69" s="36"/>
      <c r="E69" s="36"/>
      <c r="F69" s="36"/>
    </row>
    <row r="70" spans="2:6" x14ac:dyDescent="0.3">
      <c r="B70" s="36"/>
      <c r="C70" s="36"/>
      <c r="D70" s="36"/>
      <c r="E70" s="36"/>
      <c r="F70" s="36"/>
    </row>
    <row r="71" spans="2:6" x14ac:dyDescent="0.3">
      <c r="B71" s="36"/>
      <c r="C71" s="36"/>
      <c r="D71" s="36"/>
      <c r="E71" s="36"/>
      <c r="F71" s="36"/>
    </row>
    <row r="72" spans="2:6" x14ac:dyDescent="0.3">
      <c r="B72" s="36"/>
      <c r="C72" s="36"/>
      <c r="D72" s="36"/>
      <c r="E72" s="36"/>
      <c r="F72" s="36"/>
    </row>
    <row r="73" spans="2:6" x14ac:dyDescent="0.3">
      <c r="B73" s="36"/>
      <c r="C73" s="36"/>
      <c r="D73" s="36"/>
      <c r="E73" s="36"/>
      <c r="F73" s="36"/>
    </row>
    <row r="74" spans="2:6" x14ac:dyDescent="0.3">
      <c r="B74" s="36"/>
      <c r="C74" s="36"/>
      <c r="D74" s="36"/>
      <c r="E74" s="36"/>
      <c r="F74" s="36"/>
    </row>
    <row r="75" spans="2:6" x14ac:dyDescent="0.3">
      <c r="B75" s="36"/>
      <c r="C75" s="36"/>
      <c r="D75" s="36"/>
      <c r="E75" s="36"/>
      <c r="F75" s="36"/>
    </row>
    <row r="76" spans="2:6" x14ac:dyDescent="0.3">
      <c r="B76" s="36"/>
      <c r="C76" s="36"/>
      <c r="D76" s="36"/>
      <c r="E76" s="36"/>
      <c r="F76" s="36"/>
    </row>
    <row r="77" spans="2:6" x14ac:dyDescent="0.3">
      <c r="B77" s="36"/>
      <c r="C77" s="36"/>
      <c r="D77" s="36"/>
      <c r="E77" s="36"/>
      <c r="F77" s="36"/>
    </row>
    <row r="78" spans="2:6" x14ac:dyDescent="0.3">
      <c r="B78" s="36"/>
      <c r="C78" s="36"/>
      <c r="D78" s="36"/>
      <c r="E78" s="36"/>
      <c r="F78" s="36"/>
    </row>
    <row r="79" spans="2:6" x14ac:dyDescent="0.3">
      <c r="B79" s="36"/>
      <c r="C79" s="36"/>
      <c r="D79" s="36"/>
      <c r="E79" s="36"/>
      <c r="F79" s="36"/>
    </row>
    <row r="80" spans="2:6" x14ac:dyDescent="0.3">
      <c r="B80" s="36"/>
      <c r="C80" s="36"/>
      <c r="D80" s="36"/>
      <c r="E80" s="36"/>
      <c r="F80" s="36"/>
    </row>
    <row r="81" spans="2:6" x14ac:dyDescent="0.3">
      <c r="B81" s="36"/>
      <c r="C81" s="36"/>
      <c r="D81" s="36"/>
      <c r="E81" s="36"/>
      <c r="F81" s="36"/>
    </row>
    <row r="82" spans="2:6" x14ac:dyDescent="0.3">
      <c r="B82" s="36"/>
      <c r="C82" s="36"/>
      <c r="D82" s="36"/>
      <c r="E82" s="36"/>
      <c r="F82" s="36"/>
    </row>
    <row r="83" spans="2:6" x14ac:dyDescent="0.3">
      <c r="B83" s="36"/>
      <c r="C83" s="36"/>
      <c r="D83" s="36"/>
      <c r="E83" s="36"/>
      <c r="F83" s="36"/>
    </row>
    <row r="84" spans="2:6" x14ac:dyDescent="0.3">
      <c r="B84" s="36"/>
      <c r="C84" s="36"/>
      <c r="D84" s="36"/>
      <c r="E84" s="36"/>
      <c r="F84" s="36"/>
    </row>
    <row r="85" spans="2:6" x14ac:dyDescent="0.3">
      <c r="B85" s="36"/>
      <c r="C85" s="36"/>
      <c r="D85" s="36"/>
      <c r="E85" s="36"/>
      <c r="F85" s="36"/>
    </row>
    <row r="86" spans="2:6" x14ac:dyDescent="0.3">
      <c r="B86" s="36"/>
      <c r="C86" s="36"/>
      <c r="D86" s="36"/>
      <c r="E86" s="36"/>
      <c r="F86" s="36"/>
    </row>
    <row r="87" spans="2:6" x14ac:dyDescent="0.3">
      <c r="B87" s="36"/>
      <c r="C87" s="36"/>
      <c r="D87" s="36"/>
      <c r="E87" s="36"/>
      <c r="F87" s="36"/>
    </row>
    <row r="88" spans="2:6" x14ac:dyDescent="0.3">
      <c r="B88" s="36"/>
      <c r="C88" s="36"/>
      <c r="D88" s="36"/>
      <c r="E88" s="36"/>
      <c r="F88" s="36"/>
    </row>
  </sheetData>
  <phoneticPr fontId="1" type="noConversion"/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6</xdr:col>
                <xdr:colOff>95250</xdr:colOff>
                <xdr:row>1</xdr:row>
                <xdr:rowOff>19050</xdr:rowOff>
              </from>
              <to>
                <xdr:col>7</xdr:col>
                <xdr:colOff>657225</xdr:colOff>
                <xdr:row>3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Drop Down 2">
          <controlPr defaultSize="0" autoLine="0" autoPict="0" macro="[0]!차트">
            <anchor moveWithCells="1">
              <from>
                <xdr:col>8</xdr:col>
                <xdr:colOff>314325</xdr:colOff>
                <xdr:row>0</xdr:row>
                <xdr:rowOff>171450</xdr:rowOff>
              </from>
              <to>
                <xdr:col>11</xdr:col>
                <xdr:colOff>114300</xdr:colOff>
                <xdr:row>2</xdr:row>
                <xdr:rowOff>85725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C12"/>
  <sheetViews>
    <sheetView workbookViewId="0">
      <selection activeCell="F3" sqref="F3"/>
    </sheetView>
  </sheetViews>
  <sheetFormatPr defaultRowHeight="16.5" x14ac:dyDescent="0.3"/>
  <cols>
    <col min="4" max="5" width="13.375" bestFit="1" customWidth="1"/>
    <col min="6" max="6" width="16" bestFit="1" customWidth="1"/>
  </cols>
  <sheetData>
    <row r="1" spans="1:29" x14ac:dyDescent="0.3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H1" s="4" t="s">
        <v>1</v>
      </c>
      <c r="J1" s="5" t="s">
        <v>64</v>
      </c>
      <c r="K1">
        <v>30</v>
      </c>
      <c r="M1" s="5" t="s">
        <v>64</v>
      </c>
      <c r="N1" s="6" t="s">
        <v>65</v>
      </c>
      <c r="O1" s="6" t="s">
        <v>66</v>
      </c>
      <c r="P1" s="6" t="s">
        <v>67</v>
      </c>
      <c r="Q1" s="8" t="s">
        <v>68</v>
      </c>
      <c r="S1" s="6" t="s">
        <v>66</v>
      </c>
      <c r="U1" s="5" t="s">
        <v>64</v>
      </c>
      <c r="V1" s="6" t="s">
        <v>65</v>
      </c>
      <c r="W1" s="6" t="s">
        <v>66</v>
      </c>
      <c r="X1" s="6" t="s">
        <v>99</v>
      </c>
      <c r="Y1" s="6" t="s">
        <v>67</v>
      </c>
      <c r="Z1" s="8" t="s">
        <v>68</v>
      </c>
      <c r="AB1" s="5" t="s">
        <v>64</v>
      </c>
      <c r="AC1">
        <v>30</v>
      </c>
    </row>
    <row r="2" spans="1:29" x14ac:dyDescent="0.3">
      <c r="A2" s="2">
        <v>1</v>
      </c>
      <c r="B2" s="2" t="s">
        <v>6</v>
      </c>
      <c r="C2" s="2" t="s">
        <v>7</v>
      </c>
      <c r="D2" s="2" t="s">
        <v>8</v>
      </c>
      <c r="E2" s="2" t="s">
        <v>8</v>
      </c>
      <c r="F2" s="2" t="s">
        <v>9</v>
      </c>
      <c r="H2" t="s">
        <v>98</v>
      </c>
      <c r="J2" s="6" t="s">
        <v>65</v>
      </c>
      <c r="K2">
        <v>50</v>
      </c>
      <c r="M2" s="2">
        <v>1</v>
      </c>
      <c r="N2" s="2" t="s">
        <v>108</v>
      </c>
      <c r="O2" s="2" t="s">
        <v>109</v>
      </c>
      <c r="P2" s="2" t="s">
        <v>110</v>
      </c>
      <c r="Q2" s="9">
        <v>10000</v>
      </c>
      <c r="S2" t="s">
        <v>98</v>
      </c>
      <c r="U2" s="2">
        <v>3</v>
      </c>
      <c r="V2" s="2" t="s">
        <v>57</v>
      </c>
      <c r="W2" s="2" t="s">
        <v>58</v>
      </c>
      <c r="X2">
        <v>1</v>
      </c>
      <c r="Y2" s="2" t="s">
        <v>59</v>
      </c>
      <c r="Z2" s="9">
        <v>500</v>
      </c>
      <c r="AB2" s="6" t="s">
        <v>65</v>
      </c>
      <c r="AC2">
        <v>50</v>
      </c>
    </row>
    <row r="3" spans="1:29" x14ac:dyDescent="0.3">
      <c r="A3" s="2">
        <v>2</v>
      </c>
      <c r="B3" s="2" t="s">
        <v>10</v>
      </c>
      <c r="C3" s="2" t="s">
        <v>11</v>
      </c>
      <c r="D3" s="2" t="s">
        <v>12</v>
      </c>
      <c r="E3" s="2" t="s">
        <v>12</v>
      </c>
      <c r="F3" s="2" t="s">
        <v>13</v>
      </c>
      <c r="J3" s="6" t="s">
        <v>66</v>
      </c>
      <c r="K3">
        <v>50</v>
      </c>
      <c r="M3" s="2">
        <v>2</v>
      </c>
      <c r="N3" s="2" t="s">
        <v>105</v>
      </c>
      <c r="O3" s="2" t="s">
        <v>107</v>
      </c>
      <c r="P3" s="2" t="s">
        <v>106</v>
      </c>
      <c r="Q3" s="9">
        <v>15000</v>
      </c>
      <c r="U3" s="2">
        <v>5</v>
      </c>
      <c r="V3" s="2" t="s">
        <v>62</v>
      </c>
      <c r="W3" s="2" t="s">
        <v>63</v>
      </c>
      <c r="X3">
        <v>1</v>
      </c>
      <c r="Y3" s="2" t="s">
        <v>59</v>
      </c>
      <c r="Z3" s="9">
        <v>500</v>
      </c>
      <c r="AB3" s="6" t="s">
        <v>66</v>
      </c>
      <c r="AC3">
        <v>50</v>
      </c>
    </row>
    <row r="4" spans="1:29" x14ac:dyDescent="0.3">
      <c r="A4" s="2">
        <v>4</v>
      </c>
      <c r="B4" s="2" t="s">
        <v>15</v>
      </c>
      <c r="C4" s="2" t="s">
        <v>7</v>
      </c>
      <c r="D4" s="2" t="s">
        <v>16</v>
      </c>
      <c r="E4" s="2" t="s">
        <v>16</v>
      </c>
      <c r="F4" s="2" t="s">
        <v>17</v>
      </c>
      <c r="J4" s="6" t="s">
        <v>67</v>
      </c>
      <c r="K4">
        <v>50</v>
      </c>
      <c r="M4" s="2">
        <v>3</v>
      </c>
      <c r="N4" s="2" t="s">
        <v>57</v>
      </c>
      <c r="O4" s="2" t="s">
        <v>69</v>
      </c>
      <c r="P4" s="2" t="s">
        <v>71</v>
      </c>
      <c r="Q4" s="9">
        <v>500</v>
      </c>
      <c r="U4" s="2"/>
      <c r="V4" s="2"/>
      <c r="W4" s="2"/>
      <c r="Y4" s="2"/>
      <c r="Z4" s="9"/>
      <c r="AB4" s="6" t="s">
        <v>99</v>
      </c>
      <c r="AC4">
        <v>50</v>
      </c>
    </row>
    <row r="5" spans="1:29" x14ac:dyDescent="0.3">
      <c r="A5" s="2">
        <v>5</v>
      </c>
      <c r="B5" s="2" t="s">
        <v>18</v>
      </c>
      <c r="C5" s="2" t="s">
        <v>19</v>
      </c>
      <c r="D5" s="2" t="s">
        <v>20</v>
      </c>
      <c r="E5" s="2" t="s">
        <v>20</v>
      </c>
      <c r="F5" s="2" t="s">
        <v>21</v>
      </c>
      <c r="J5" s="8" t="s">
        <v>68</v>
      </c>
      <c r="K5">
        <v>50</v>
      </c>
      <c r="M5" s="2">
        <v>4</v>
      </c>
      <c r="N5" s="2" t="s">
        <v>60</v>
      </c>
      <c r="O5" s="2" t="s">
        <v>70</v>
      </c>
      <c r="P5" s="2" t="s">
        <v>71</v>
      </c>
      <c r="Q5" s="9">
        <v>5000</v>
      </c>
      <c r="U5" s="2"/>
      <c r="V5" s="2"/>
      <c r="W5" s="2"/>
      <c r="Y5" s="2"/>
      <c r="Z5" s="9"/>
      <c r="AB5" s="8" t="s">
        <v>68</v>
      </c>
      <c r="AC5">
        <v>50</v>
      </c>
    </row>
    <row r="6" spans="1:29" x14ac:dyDescent="0.3">
      <c r="A6" s="2">
        <v>6</v>
      </c>
      <c r="B6" s="2" t="s">
        <v>22</v>
      </c>
      <c r="C6" s="2" t="s">
        <v>23</v>
      </c>
      <c r="D6" s="2" t="s">
        <v>24</v>
      </c>
      <c r="E6" s="2" t="s">
        <v>24</v>
      </c>
      <c r="F6" s="2" t="s">
        <v>25</v>
      </c>
      <c r="M6" s="2">
        <v>5</v>
      </c>
      <c r="N6" s="2" t="s">
        <v>111</v>
      </c>
      <c r="O6" s="2" t="s">
        <v>112</v>
      </c>
      <c r="P6" s="2" t="s">
        <v>113</v>
      </c>
      <c r="Q6" s="9">
        <v>500</v>
      </c>
      <c r="U6" s="2"/>
      <c r="V6" s="2"/>
      <c r="W6" s="2"/>
      <c r="Y6" s="2"/>
      <c r="Z6" s="9"/>
    </row>
    <row r="7" spans="1:29" x14ac:dyDescent="0.3">
      <c r="A7" s="2">
        <v>7</v>
      </c>
      <c r="B7" s="2" t="s">
        <v>26</v>
      </c>
      <c r="C7" s="2" t="s">
        <v>27</v>
      </c>
      <c r="D7" s="2" t="s">
        <v>28</v>
      </c>
      <c r="E7" s="2" t="s">
        <v>28</v>
      </c>
      <c r="F7" s="2" t="s">
        <v>29</v>
      </c>
      <c r="M7" s="2"/>
      <c r="N7" s="2"/>
      <c r="O7" s="2"/>
      <c r="P7" s="2"/>
      <c r="Q7" s="9"/>
    </row>
    <row r="8" spans="1:29" x14ac:dyDescent="0.3">
      <c r="A8" s="2">
        <v>8</v>
      </c>
      <c r="B8" s="2" t="s">
        <v>30</v>
      </c>
      <c r="C8" s="2" t="s">
        <v>31</v>
      </c>
      <c r="D8" s="2" t="s">
        <v>32</v>
      </c>
      <c r="E8" s="2" t="s">
        <v>32</v>
      </c>
      <c r="F8" s="2" t="s">
        <v>33</v>
      </c>
      <c r="M8" s="2"/>
      <c r="N8" s="2"/>
      <c r="O8" s="2"/>
      <c r="P8" s="2"/>
      <c r="Q8" s="9"/>
    </row>
    <row r="9" spans="1:29" x14ac:dyDescent="0.3">
      <c r="A9" s="2">
        <v>9</v>
      </c>
      <c r="B9" s="2" t="s">
        <v>34</v>
      </c>
      <c r="C9" s="2" t="s">
        <v>35</v>
      </c>
      <c r="D9" s="2" t="s">
        <v>36</v>
      </c>
      <c r="E9" s="2" t="s">
        <v>36</v>
      </c>
      <c r="F9" s="2" t="s">
        <v>37</v>
      </c>
    </row>
    <row r="10" spans="1:29" x14ac:dyDescent="0.3">
      <c r="A10" s="2">
        <v>10</v>
      </c>
      <c r="B10" s="2" t="s">
        <v>38</v>
      </c>
      <c r="C10" s="2" t="s">
        <v>39</v>
      </c>
      <c r="D10" s="2" t="s">
        <v>40</v>
      </c>
      <c r="E10" s="2" t="s">
        <v>40</v>
      </c>
      <c r="F10" s="2" t="s">
        <v>41</v>
      </c>
    </row>
    <row r="11" spans="1:29" x14ac:dyDescent="0.3">
      <c r="A11" s="2">
        <v>11</v>
      </c>
      <c r="B11" s="2" t="s">
        <v>115</v>
      </c>
      <c r="C11" s="2" t="s">
        <v>116</v>
      </c>
      <c r="D11" s="7">
        <v>36892</v>
      </c>
      <c r="E11" s="7">
        <v>36892</v>
      </c>
      <c r="F11" s="2" t="s">
        <v>117</v>
      </c>
    </row>
    <row r="12" spans="1:29" x14ac:dyDescent="0.3">
      <c r="A12" s="2"/>
      <c r="B12" s="2"/>
      <c r="C12" s="2"/>
      <c r="D12" s="2"/>
      <c r="E12" s="2"/>
      <c r="F12" s="2"/>
    </row>
  </sheetData>
  <phoneticPr fontId="1" type="noConversion"/>
  <conditionalFormatting sqref="A1:F11 U1:W6 Y1:Z6 X1">
    <cfRule type="expression" dxfId="10" priority="7">
      <formula>$A1&lt;&gt;""</formula>
    </cfRule>
  </conditionalFormatting>
  <conditionalFormatting sqref="H1">
    <cfRule type="expression" dxfId="9" priority="6">
      <formula>$A1&lt;&gt;""</formula>
    </cfRule>
  </conditionalFormatting>
  <conditionalFormatting sqref="M1:Q6">
    <cfRule type="expression" dxfId="8" priority="5">
      <formula>$A1&lt;&gt;""</formula>
    </cfRule>
  </conditionalFormatting>
  <conditionalFormatting sqref="J1:J5">
    <cfRule type="expression" dxfId="7" priority="4">
      <formula>$A1&lt;&gt;""</formula>
    </cfRule>
  </conditionalFormatting>
  <conditionalFormatting sqref="S1">
    <cfRule type="expression" dxfId="6" priority="3">
      <formula>$A1&lt;&gt;""</formula>
    </cfRule>
  </conditionalFormatting>
  <conditionalFormatting sqref="AB1:AB5">
    <cfRule type="expression" dxfId="5" priority="1">
      <formula>$A1&lt;&gt;""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K539"/>
  <sheetViews>
    <sheetView workbookViewId="0">
      <selection activeCell="H29" sqref="H29"/>
    </sheetView>
  </sheetViews>
  <sheetFormatPr defaultRowHeight="16.5" x14ac:dyDescent="0.3"/>
  <cols>
    <col min="1" max="1" width="13.25" style="2" customWidth="1"/>
    <col min="8" max="8" width="11.875" bestFit="1" customWidth="1"/>
    <col min="9" max="11" width="11.125" bestFit="1" customWidth="1"/>
  </cols>
  <sheetData>
    <row r="1" spans="1:11" x14ac:dyDescent="0.3">
      <c r="A1" s="6" t="s">
        <v>43</v>
      </c>
      <c r="B1" s="6" t="s">
        <v>43</v>
      </c>
      <c r="C1" s="6" t="s">
        <v>45</v>
      </c>
      <c r="D1" s="6" t="s">
        <v>47</v>
      </c>
      <c r="E1" s="8" t="s">
        <v>48</v>
      </c>
      <c r="F1" s="8" t="s">
        <v>49</v>
      </c>
    </row>
    <row r="2" spans="1:11" x14ac:dyDescent="0.3">
      <c r="A2" s="2" t="s">
        <v>6</v>
      </c>
      <c r="B2" t="str">
        <f ca="1">INDIRECT("A"&amp;B3+1)</f>
        <v>태양산업</v>
      </c>
      <c r="C2" s="2" t="s">
        <v>52</v>
      </c>
      <c r="D2" s="2">
        <v>10</v>
      </c>
      <c r="E2" s="9">
        <v>10000</v>
      </c>
      <c r="F2" s="9">
        <v>100000</v>
      </c>
      <c r="H2" t="s">
        <v>98</v>
      </c>
    </row>
    <row r="3" spans="1:11" x14ac:dyDescent="0.3">
      <c r="A3" s="2" t="s">
        <v>10</v>
      </c>
      <c r="B3">
        <v>1</v>
      </c>
      <c r="C3" s="2"/>
      <c r="D3" s="2"/>
      <c r="E3" s="9"/>
      <c r="F3" s="9"/>
    </row>
    <row r="4" spans="1:11" x14ac:dyDescent="0.3">
      <c r="A4" s="2" t="s">
        <v>14</v>
      </c>
      <c r="C4" s="2"/>
      <c r="D4" s="2"/>
      <c r="E4" s="9"/>
      <c r="F4" s="9"/>
      <c r="H4" s="31" t="s">
        <v>100</v>
      </c>
      <c r="I4" t="s">
        <v>103</v>
      </c>
      <c r="J4" t="s">
        <v>102</v>
      </c>
      <c r="K4" t="s">
        <v>104</v>
      </c>
    </row>
    <row r="5" spans="1:11" x14ac:dyDescent="0.3">
      <c r="A5" s="2" t="s">
        <v>15</v>
      </c>
      <c r="C5" s="2"/>
      <c r="D5" s="2"/>
      <c r="E5" s="9"/>
      <c r="F5" s="9"/>
      <c r="H5" s="32" t="s">
        <v>52</v>
      </c>
      <c r="I5" s="33">
        <v>10</v>
      </c>
      <c r="J5" s="33">
        <v>10000</v>
      </c>
      <c r="K5" s="33">
        <v>100000</v>
      </c>
    </row>
    <row r="6" spans="1:11" x14ac:dyDescent="0.3">
      <c r="H6" s="32" t="s">
        <v>101</v>
      </c>
      <c r="I6" s="33">
        <v>10</v>
      </c>
      <c r="J6" s="33">
        <v>10000</v>
      </c>
      <c r="K6" s="33">
        <v>100000</v>
      </c>
    </row>
    <row r="7" spans="1:11" x14ac:dyDescent="0.3">
      <c r="A7"/>
    </row>
    <row r="8" spans="1:11" x14ac:dyDescent="0.3">
      <c r="A8"/>
    </row>
    <row r="9" spans="1:11" x14ac:dyDescent="0.3">
      <c r="A9"/>
    </row>
    <row r="10" spans="1:11" x14ac:dyDescent="0.3">
      <c r="A10"/>
    </row>
    <row r="11" spans="1:11" x14ac:dyDescent="0.3">
      <c r="A11"/>
    </row>
    <row r="12" spans="1:11" x14ac:dyDescent="0.3">
      <c r="A12"/>
    </row>
    <row r="13" spans="1:11" x14ac:dyDescent="0.3">
      <c r="A13"/>
    </row>
    <row r="14" spans="1:11" x14ac:dyDescent="0.3">
      <c r="A14"/>
    </row>
    <row r="15" spans="1:11" x14ac:dyDescent="0.3">
      <c r="A15"/>
    </row>
    <row r="16" spans="1:11" x14ac:dyDescent="0.3">
      <c r="A16"/>
    </row>
    <row r="17" spans="1:1" x14ac:dyDescent="0.3">
      <c r="A17"/>
    </row>
    <row r="18" spans="1:1" x14ac:dyDescent="0.3">
      <c r="A18"/>
    </row>
    <row r="19" spans="1:1" x14ac:dyDescent="0.3">
      <c r="A19"/>
    </row>
    <row r="20" spans="1:1" x14ac:dyDescent="0.3">
      <c r="A20"/>
    </row>
    <row r="21" spans="1:1" x14ac:dyDescent="0.3">
      <c r="A21"/>
    </row>
    <row r="22" spans="1:1" x14ac:dyDescent="0.3">
      <c r="A22"/>
    </row>
    <row r="23" spans="1:1" x14ac:dyDescent="0.3">
      <c r="A23"/>
    </row>
    <row r="24" spans="1:1" x14ac:dyDescent="0.3">
      <c r="A24"/>
    </row>
    <row r="25" spans="1:1" x14ac:dyDescent="0.3">
      <c r="A25"/>
    </row>
    <row r="26" spans="1:1" x14ac:dyDescent="0.3">
      <c r="A26"/>
    </row>
    <row r="27" spans="1:1" x14ac:dyDescent="0.3">
      <c r="A27"/>
    </row>
    <row r="28" spans="1:1" x14ac:dyDescent="0.3">
      <c r="A28"/>
    </row>
    <row r="29" spans="1:1" x14ac:dyDescent="0.3">
      <c r="A29"/>
    </row>
    <row r="30" spans="1:1" x14ac:dyDescent="0.3">
      <c r="A30"/>
    </row>
    <row r="31" spans="1:1" x14ac:dyDescent="0.3">
      <c r="A31"/>
    </row>
    <row r="32" spans="1:1" x14ac:dyDescent="0.3">
      <c r="A32"/>
    </row>
    <row r="33" spans="1:1" x14ac:dyDescent="0.3">
      <c r="A33"/>
    </row>
    <row r="34" spans="1:1" x14ac:dyDescent="0.3">
      <c r="A34"/>
    </row>
    <row r="35" spans="1:1" x14ac:dyDescent="0.3">
      <c r="A35"/>
    </row>
    <row r="36" spans="1:1" x14ac:dyDescent="0.3">
      <c r="A36"/>
    </row>
    <row r="37" spans="1:1" x14ac:dyDescent="0.3">
      <c r="A37"/>
    </row>
    <row r="38" spans="1:1" x14ac:dyDescent="0.3">
      <c r="A38"/>
    </row>
    <row r="39" spans="1:1" x14ac:dyDescent="0.3">
      <c r="A39"/>
    </row>
    <row r="40" spans="1:1" x14ac:dyDescent="0.3">
      <c r="A40"/>
    </row>
    <row r="41" spans="1:1" x14ac:dyDescent="0.3">
      <c r="A41"/>
    </row>
    <row r="42" spans="1:1" x14ac:dyDescent="0.3">
      <c r="A42"/>
    </row>
    <row r="43" spans="1:1" x14ac:dyDescent="0.3">
      <c r="A43"/>
    </row>
    <row r="44" spans="1:1" x14ac:dyDescent="0.3">
      <c r="A44"/>
    </row>
    <row r="45" spans="1:1" x14ac:dyDescent="0.3">
      <c r="A45"/>
    </row>
    <row r="46" spans="1:1" x14ac:dyDescent="0.3">
      <c r="A46"/>
    </row>
    <row r="47" spans="1:1" x14ac:dyDescent="0.3">
      <c r="A47"/>
    </row>
    <row r="48" spans="1:1" x14ac:dyDescent="0.3">
      <c r="A48"/>
    </row>
    <row r="49" spans="1:1" x14ac:dyDescent="0.3">
      <c r="A49"/>
    </row>
    <row r="50" spans="1:1" x14ac:dyDescent="0.3">
      <c r="A50"/>
    </row>
    <row r="51" spans="1:1" x14ac:dyDescent="0.3">
      <c r="A51"/>
    </row>
    <row r="52" spans="1:1" x14ac:dyDescent="0.3">
      <c r="A52"/>
    </row>
    <row r="53" spans="1:1" x14ac:dyDescent="0.3">
      <c r="A53"/>
    </row>
    <row r="54" spans="1:1" x14ac:dyDescent="0.3">
      <c r="A54"/>
    </row>
    <row r="55" spans="1:1" x14ac:dyDescent="0.3">
      <c r="A55"/>
    </row>
    <row r="56" spans="1:1" x14ac:dyDescent="0.3">
      <c r="A56"/>
    </row>
    <row r="57" spans="1:1" x14ac:dyDescent="0.3">
      <c r="A57"/>
    </row>
    <row r="58" spans="1:1" x14ac:dyDescent="0.3">
      <c r="A58"/>
    </row>
    <row r="59" spans="1:1" x14ac:dyDescent="0.3">
      <c r="A59"/>
    </row>
    <row r="60" spans="1:1" x14ac:dyDescent="0.3">
      <c r="A60"/>
    </row>
    <row r="61" spans="1:1" x14ac:dyDescent="0.3">
      <c r="A61"/>
    </row>
    <row r="62" spans="1:1" x14ac:dyDescent="0.3">
      <c r="A62"/>
    </row>
    <row r="63" spans="1:1" x14ac:dyDescent="0.3">
      <c r="A63"/>
    </row>
    <row r="64" spans="1:1" x14ac:dyDescent="0.3">
      <c r="A64"/>
    </row>
    <row r="65" spans="1:1" x14ac:dyDescent="0.3">
      <c r="A65"/>
    </row>
    <row r="66" spans="1:1" x14ac:dyDescent="0.3">
      <c r="A66"/>
    </row>
    <row r="67" spans="1:1" x14ac:dyDescent="0.3">
      <c r="A67"/>
    </row>
    <row r="68" spans="1:1" x14ac:dyDescent="0.3">
      <c r="A68"/>
    </row>
    <row r="69" spans="1:1" x14ac:dyDescent="0.3">
      <c r="A69"/>
    </row>
    <row r="70" spans="1:1" x14ac:dyDescent="0.3">
      <c r="A70"/>
    </row>
    <row r="71" spans="1:1" x14ac:dyDescent="0.3">
      <c r="A71"/>
    </row>
    <row r="72" spans="1:1" x14ac:dyDescent="0.3">
      <c r="A72"/>
    </row>
    <row r="73" spans="1:1" x14ac:dyDescent="0.3">
      <c r="A73"/>
    </row>
    <row r="74" spans="1:1" x14ac:dyDescent="0.3">
      <c r="A74"/>
    </row>
    <row r="75" spans="1:1" x14ac:dyDescent="0.3">
      <c r="A75"/>
    </row>
    <row r="76" spans="1:1" x14ac:dyDescent="0.3">
      <c r="A76"/>
    </row>
    <row r="77" spans="1:1" x14ac:dyDescent="0.3">
      <c r="A77"/>
    </row>
    <row r="78" spans="1:1" x14ac:dyDescent="0.3">
      <c r="A78"/>
    </row>
    <row r="79" spans="1:1" x14ac:dyDescent="0.3">
      <c r="A79"/>
    </row>
    <row r="80" spans="1:1" x14ac:dyDescent="0.3">
      <c r="A80"/>
    </row>
    <row r="81" spans="1:1" x14ac:dyDescent="0.3">
      <c r="A81"/>
    </row>
    <row r="82" spans="1:1" x14ac:dyDescent="0.3">
      <c r="A82"/>
    </row>
    <row r="83" spans="1:1" x14ac:dyDescent="0.3">
      <c r="A83"/>
    </row>
    <row r="84" spans="1:1" x14ac:dyDescent="0.3">
      <c r="A84"/>
    </row>
    <row r="85" spans="1:1" x14ac:dyDescent="0.3">
      <c r="A85"/>
    </row>
    <row r="86" spans="1:1" x14ac:dyDescent="0.3">
      <c r="A86"/>
    </row>
    <row r="87" spans="1:1" x14ac:dyDescent="0.3">
      <c r="A87"/>
    </row>
    <row r="88" spans="1:1" x14ac:dyDescent="0.3">
      <c r="A88"/>
    </row>
    <row r="89" spans="1:1" x14ac:dyDescent="0.3">
      <c r="A89"/>
    </row>
    <row r="90" spans="1:1" x14ac:dyDescent="0.3">
      <c r="A90"/>
    </row>
    <row r="91" spans="1:1" x14ac:dyDescent="0.3">
      <c r="A91"/>
    </row>
    <row r="92" spans="1:1" x14ac:dyDescent="0.3">
      <c r="A92"/>
    </row>
    <row r="93" spans="1:1" x14ac:dyDescent="0.3">
      <c r="A93"/>
    </row>
    <row r="94" spans="1:1" x14ac:dyDescent="0.3">
      <c r="A94"/>
    </row>
    <row r="95" spans="1:1" x14ac:dyDescent="0.3">
      <c r="A95"/>
    </row>
    <row r="96" spans="1:1" x14ac:dyDescent="0.3">
      <c r="A96"/>
    </row>
    <row r="97" spans="1:1" x14ac:dyDescent="0.3">
      <c r="A97"/>
    </row>
    <row r="98" spans="1:1" x14ac:dyDescent="0.3">
      <c r="A98"/>
    </row>
    <row r="99" spans="1:1" x14ac:dyDescent="0.3">
      <c r="A99"/>
    </row>
    <row r="100" spans="1:1" x14ac:dyDescent="0.3">
      <c r="A100"/>
    </row>
    <row r="101" spans="1:1" x14ac:dyDescent="0.3">
      <c r="A101"/>
    </row>
    <row r="102" spans="1:1" x14ac:dyDescent="0.3">
      <c r="A102"/>
    </row>
    <row r="103" spans="1:1" x14ac:dyDescent="0.3">
      <c r="A103"/>
    </row>
    <row r="104" spans="1:1" x14ac:dyDescent="0.3">
      <c r="A104"/>
    </row>
    <row r="105" spans="1:1" x14ac:dyDescent="0.3">
      <c r="A105"/>
    </row>
    <row r="106" spans="1:1" x14ac:dyDescent="0.3">
      <c r="A106"/>
    </row>
    <row r="107" spans="1:1" x14ac:dyDescent="0.3">
      <c r="A107"/>
    </row>
    <row r="108" spans="1:1" x14ac:dyDescent="0.3">
      <c r="A108"/>
    </row>
    <row r="109" spans="1:1" x14ac:dyDescent="0.3">
      <c r="A109"/>
    </row>
    <row r="110" spans="1:1" x14ac:dyDescent="0.3">
      <c r="A110"/>
    </row>
    <row r="111" spans="1:1" x14ac:dyDescent="0.3">
      <c r="A111"/>
    </row>
    <row r="112" spans="1:1" x14ac:dyDescent="0.3">
      <c r="A112"/>
    </row>
    <row r="113" spans="1:1" x14ac:dyDescent="0.3">
      <c r="A113"/>
    </row>
    <row r="114" spans="1:1" x14ac:dyDescent="0.3">
      <c r="A114"/>
    </row>
    <row r="115" spans="1:1" x14ac:dyDescent="0.3">
      <c r="A115"/>
    </row>
    <row r="116" spans="1:1" x14ac:dyDescent="0.3">
      <c r="A116"/>
    </row>
    <row r="117" spans="1:1" x14ac:dyDescent="0.3">
      <c r="A117"/>
    </row>
    <row r="118" spans="1:1" x14ac:dyDescent="0.3">
      <c r="A118"/>
    </row>
    <row r="119" spans="1:1" x14ac:dyDescent="0.3">
      <c r="A119"/>
    </row>
    <row r="120" spans="1:1" x14ac:dyDescent="0.3">
      <c r="A120"/>
    </row>
    <row r="121" spans="1:1" x14ac:dyDescent="0.3">
      <c r="A121"/>
    </row>
    <row r="122" spans="1:1" x14ac:dyDescent="0.3">
      <c r="A122"/>
    </row>
    <row r="123" spans="1:1" x14ac:dyDescent="0.3">
      <c r="A123"/>
    </row>
    <row r="124" spans="1:1" x14ac:dyDescent="0.3">
      <c r="A124"/>
    </row>
    <row r="125" spans="1:1" x14ac:dyDescent="0.3">
      <c r="A125"/>
    </row>
    <row r="126" spans="1:1" x14ac:dyDescent="0.3">
      <c r="A126"/>
    </row>
    <row r="127" spans="1:1" x14ac:dyDescent="0.3">
      <c r="A127"/>
    </row>
    <row r="128" spans="1:1" x14ac:dyDescent="0.3">
      <c r="A128"/>
    </row>
    <row r="129" spans="1:1" x14ac:dyDescent="0.3">
      <c r="A129"/>
    </row>
    <row r="130" spans="1:1" x14ac:dyDescent="0.3">
      <c r="A130"/>
    </row>
    <row r="131" spans="1:1" x14ac:dyDescent="0.3">
      <c r="A131"/>
    </row>
    <row r="132" spans="1:1" x14ac:dyDescent="0.3">
      <c r="A132"/>
    </row>
    <row r="133" spans="1:1" x14ac:dyDescent="0.3">
      <c r="A133"/>
    </row>
    <row r="134" spans="1:1" x14ac:dyDescent="0.3">
      <c r="A134"/>
    </row>
    <row r="135" spans="1:1" x14ac:dyDescent="0.3">
      <c r="A135"/>
    </row>
    <row r="136" spans="1:1" x14ac:dyDescent="0.3">
      <c r="A136"/>
    </row>
    <row r="137" spans="1:1" x14ac:dyDescent="0.3">
      <c r="A137"/>
    </row>
    <row r="138" spans="1:1" x14ac:dyDescent="0.3">
      <c r="A138"/>
    </row>
    <row r="139" spans="1:1" x14ac:dyDescent="0.3">
      <c r="A139"/>
    </row>
    <row r="140" spans="1:1" x14ac:dyDescent="0.3">
      <c r="A140"/>
    </row>
    <row r="141" spans="1:1" x14ac:dyDescent="0.3">
      <c r="A141"/>
    </row>
    <row r="142" spans="1:1" x14ac:dyDescent="0.3">
      <c r="A142"/>
    </row>
    <row r="143" spans="1:1" x14ac:dyDescent="0.3">
      <c r="A143"/>
    </row>
    <row r="144" spans="1:1" x14ac:dyDescent="0.3">
      <c r="A144"/>
    </row>
    <row r="145" spans="1:1" x14ac:dyDescent="0.3">
      <c r="A145"/>
    </row>
    <row r="146" spans="1:1" x14ac:dyDescent="0.3">
      <c r="A146"/>
    </row>
    <row r="147" spans="1:1" x14ac:dyDescent="0.3">
      <c r="A147"/>
    </row>
    <row r="148" spans="1:1" x14ac:dyDescent="0.3">
      <c r="A148"/>
    </row>
    <row r="149" spans="1:1" x14ac:dyDescent="0.3">
      <c r="A149"/>
    </row>
    <row r="150" spans="1:1" x14ac:dyDescent="0.3">
      <c r="A150"/>
    </row>
    <row r="151" spans="1:1" x14ac:dyDescent="0.3">
      <c r="A151"/>
    </row>
    <row r="152" spans="1:1" x14ac:dyDescent="0.3">
      <c r="A152"/>
    </row>
    <row r="153" spans="1:1" x14ac:dyDescent="0.3">
      <c r="A153"/>
    </row>
    <row r="154" spans="1:1" x14ac:dyDescent="0.3">
      <c r="A154"/>
    </row>
    <row r="155" spans="1:1" x14ac:dyDescent="0.3">
      <c r="A155"/>
    </row>
    <row r="156" spans="1:1" x14ac:dyDescent="0.3">
      <c r="A156"/>
    </row>
    <row r="157" spans="1:1" x14ac:dyDescent="0.3">
      <c r="A157"/>
    </row>
    <row r="158" spans="1:1" x14ac:dyDescent="0.3">
      <c r="A158"/>
    </row>
    <row r="159" spans="1:1" x14ac:dyDescent="0.3">
      <c r="A159"/>
    </row>
    <row r="160" spans="1:1" x14ac:dyDescent="0.3">
      <c r="A160"/>
    </row>
    <row r="161" spans="1:1" x14ac:dyDescent="0.3">
      <c r="A161"/>
    </row>
    <row r="162" spans="1:1" x14ac:dyDescent="0.3">
      <c r="A162"/>
    </row>
    <row r="163" spans="1:1" x14ac:dyDescent="0.3">
      <c r="A163"/>
    </row>
    <row r="164" spans="1:1" x14ac:dyDescent="0.3">
      <c r="A164"/>
    </row>
    <row r="165" spans="1:1" x14ac:dyDescent="0.3">
      <c r="A165"/>
    </row>
    <row r="166" spans="1:1" x14ac:dyDescent="0.3">
      <c r="A166"/>
    </row>
    <row r="167" spans="1:1" x14ac:dyDescent="0.3">
      <c r="A167"/>
    </row>
    <row r="168" spans="1:1" x14ac:dyDescent="0.3">
      <c r="A168"/>
    </row>
    <row r="169" spans="1:1" x14ac:dyDescent="0.3">
      <c r="A169"/>
    </row>
    <row r="170" spans="1:1" x14ac:dyDescent="0.3">
      <c r="A170"/>
    </row>
    <row r="171" spans="1:1" x14ac:dyDescent="0.3">
      <c r="A171"/>
    </row>
    <row r="172" spans="1:1" x14ac:dyDescent="0.3">
      <c r="A172"/>
    </row>
    <row r="173" spans="1:1" x14ac:dyDescent="0.3">
      <c r="A173"/>
    </row>
    <row r="174" spans="1:1" x14ac:dyDescent="0.3">
      <c r="A174"/>
    </row>
    <row r="175" spans="1:1" x14ac:dyDescent="0.3">
      <c r="A175"/>
    </row>
    <row r="176" spans="1:1" x14ac:dyDescent="0.3">
      <c r="A176"/>
    </row>
    <row r="177" spans="1:1" x14ac:dyDescent="0.3">
      <c r="A177"/>
    </row>
    <row r="178" spans="1:1" x14ac:dyDescent="0.3">
      <c r="A178"/>
    </row>
    <row r="179" spans="1:1" x14ac:dyDescent="0.3">
      <c r="A179"/>
    </row>
    <row r="180" spans="1:1" x14ac:dyDescent="0.3">
      <c r="A180"/>
    </row>
    <row r="181" spans="1:1" x14ac:dyDescent="0.3">
      <c r="A181"/>
    </row>
    <row r="182" spans="1:1" x14ac:dyDescent="0.3">
      <c r="A182"/>
    </row>
    <row r="183" spans="1:1" x14ac:dyDescent="0.3">
      <c r="A183"/>
    </row>
    <row r="184" spans="1:1" x14ac:dyDescent="0.3">
      <c r="A184"/>
    </row>
    <row r="185" spans="1:1" x14ac:dyDescent="0.3">
      <c r="A185"/>
    </row>
    <row r="186" spans="1:1" x14ac:dyDescent="0.3">
      <c r="A186"/>
    </row>
    <row r="187" spans="1:1" x14ac:dyDescent="0.3">
      <c r="A187"/>
    </row>
    <row r="188" spans="1:1" x14ac:dyDescent="0.3">
      <c r="A188"/>
    </row>
    <row r="189" spans="1:1" x14ac:dyDescent="0.3">
      <c r="A189"/>
    </row>
    <row r="190" spans="1:1" x14ac:dyDescent="0.3">
      <c r="A190"/>
    </row>
    <row r="191" spans="1:1" x14ac:dyDescent="0.3">
      <c r="A191"/>
    </row>
    <row r="192" spans="1:1" x14ac:dyDescent="0.3">
      <c r="A192"/>
    </row>
    <row r="193" spans="1:1" x14ac:dyDescent="0.3">
      <c r="A193"/>
    </row>
    <row r="194" spans="1:1" x14ac:dyDescent="0.3">
      <c r="A194"/>
    </row>
    <row r="195" spans="1:1" x14ac:dyDescent="0.3">
      <c r="A195"/>
    </row>
    <row r="196" spans="1:1" x14ac:dyDescent="0.3">
      <c r="A196"/>
    </row>
    <row r="197" spans="1:1" x14ac:dyDescent="0.3">
      <c r="A197"/>
    </row>
    <row r="198" spans="1:1" x14ac:dyDescent="0.3">
      <c r="A198"/>
    </row>
    <row r="199" spans="1:1" x14ac:dyDescent="0.3">
      <c r="A199"/>
    </row>
    <row r="200" spans="1:1" x14ac:dyDescent="0.3">
      <c r="A200"/>
    </row>
    <row r="201" spans="1:1" x14ac:dyDescent="0.3">
      <c r="A201"/>
    </row>
    <row r="202" spans="1:1" x14ac:dyDescent="0.3">
      <c r="A202"/>
    </row>
    <row r="203" spans="1:1" x14ac:dyDescent="0.3">
      <c r="A203"/>
    </row>
    <row r="204" spans="1:1" x14ac:dyDescent="0.3">
      <c r="A204"/>
    </row>
    <row r="205" spans="1:1" x14ac:dyDescent="0.3">
      <c r="A205"/>
    </row>
    <row r="206" spans="1:1" x14ac:dyDescent="0.3">
      <c r="A206"/>
    </row>
    <row r="207" spans="1:1" x14ac:dyDescent="0.3">
      <c r="A207"/>
    </row>
    <row r="208" spans="1:1" x14ac:dyDescent="0.3">
      <c r="A208"/>
    </row>
    <row r="209" spans="1:1" x14ac:dyDescent="0.3">
      <c r="A209"/>
    </row>
    <row r="210" spans="1:1" x14ac:dyDescent="0.3">
      <c r="A210"/>
    </row>
    <row r="211" spans="1:1" x14ac:dyDescent="0.3">
      <c r="A211"/>
    </row>
    <row r="212" spans="1:1" x14ac:dyDescent="0.3">
      <c r="A212"/>
    </row>
    <row r="213" spans="1:1" x14ac:dyDescent="0.3">
      <c r="A213"/>
    </row>
    <row r="214" spans="1:1" x14ac:dyDescent="0.3">
      <c r="A214"/>
    </row>
    <row r="215" spans="1:1" x14ac:dyDescent="0.3">
      <c r="A215"/>
    </row>
    <row r="216" spans="1:1" x14ac:dyDescent="0.3">
      <c r="A216"/>
    </row>
    <row r="217" spans="1:1" x14ac:dyDescent="0.3">
      <c r="A217"/>
    </row>
    <row r="218" spans="1:1" x14ac:dyDescent="0.3">
      <c r="A218"/>
    </row>
    <row r="219" spans="1:1" x14ac:dyDescent="0.3">
      <c r="A219"/>
    </row>
    <row r="220" spans="1:1" x14ac:dyDescent="0.3">
      <c r="A220"/>
    </row>
    <row r="221" spans="1:1" x14ac:dyDescent="0.3">
      <c r="A221"/>
    </row>
    <row r="222" spans="1:1" x14ac:dyDescent="0.3">
      <c r="A222"/>
    </row>
    <row r="223" spans="1:1" x14ac:dyDescent="0.3">
      <c r="A223"/>
    </row>
    <row r="224" spans="1:1" x14ac:dyDescent="0.3">
      <c r="A224"/>
    </row>
    <row r="225" spans="1:1" x14ac:dyDescent="0.3">
      <c r="A225"/>
    </row>
    <row r="226" spans="1:1" x14ac:dyDescent="0.3">
      <c r="A226"/>
    </row>
    <row r="227" spans="1:1" x14ac:dyDescent="0.3">
      <c r="A227"/>
    </row>
    <row r="228" spans="1:1" x14ac:dyDescent="0.3">
      <c r="A228"/>
    </row>
    <row r="229" spans="1:1" x14ac:dyDescent="0.3">
      <c r="A229"/>
    </row>
    <row r="230" spans="1:1" x14ac:dyDescent="0.3">
      <c r="A230"/>
    </row>
    <row r="231" spans="1:1" x14ac:dyDescent="0.3">
      <c r="A231"/>
    </row>
    <row r="232" spans="1:1" x14ac:dyDescent="0.3">
      <c r="A232"/>
    </row>
    <row r="233" spans="1:1" x14ac:dyDescent="0.3">
      <c r="A233"/>
    </row>
    <row r="234" spans="1:1" x14ac:dyDescent="0.3">
      <c r="A234"/>
    </row>
    <row r="235" spans="1:1" x14ac:dyDescent="0.3">
      <c r="A235"/>
    </row>
    <row r="236" spans="1:1" x14ac:dyDescent="0.3">
      <c r="A236"/>
    </row>
    <row r="237" spans="1:1" x14ac:dyDescent="0.3">
      <c r="A237"/>
    </row>
    <row r="238" spans="1:1" x14ac:dyDescent="0.3">
      <c r="A238"/>
    </row>
    <row r="239" spans="1:1" x14ac:dyDescent="0.3">
      <c r="A239"/>
    </row>
    <row r="240" spans="1:1" x14ac:dyDescent="0.3">
      <c r="A240"/>
    </row>
    <row r="241" spans="1:1" x14ac:dyDescent="0.3">
      <c r="A241"/>
    </row>
    <row r="242" spans="1:1" x14ac:dyDescent="0.3">
      <c r="A242"/>
    </row>
    <row r="243" spans="1:1" x14ac:dyDescent="0.3">
      <c r="A243"/>
    </row>
    <row r="244" spans="1:1" x14ac:dyDescent="0.3">
      <c r="A244"/>
    </row>
    <row r="245" spans="1:1" x14ac:dyDescent="0.3">
      <c r="A245"/>
    </row>
    <row r="246" spans="1:1" x14ac:dyDescent="0.3">
      <c r="A246"/>
    </row>
    <row r="247" spans="1:1" x14ac:dyDescent="0.3">
      <c r="A247"/>
    </row>
    <row r="248" spans="1:1" x14ac:dyDescent="0.3">
      <c r="A248"/>
    </row>
    <row r="249" spans="1:1" x14ac:dyDescent="0.3">
      <c r="A249"/>
    </row>
    <row r="250" spans="1:1" x14ac:dyDescent="0.3">
      <c r="A250"/>
    </row>
    <row r="251" spans="1:1" x14ac:dyDescent="0.3">
      <c r="A251"/>
    </row>
    <row r="252" spans="1:1" x14ac:dyDescent="0.3">
      <c r="A252"/>
    </row>
    <row r="253" spans="1:1" x14ac:dyDescent="0.3">
      <c r="A253"/>
    </row>
    <row r="254" spans="1:1" x14ac:dyDescent="0.3">
      <c r="A254"/>
    </row>
    <row r="255" spans="1:1" x14ac:dyDescent="0.3">
      <c r="A255"/>
    </row>
    <row r="256" spans="1:1" x14ac:dyDescent="0.3">
      <c r="A256"/>
    </row>
    <row r="257" spans="1:1" x14ac:dyDescent="0.3">
      <c r="A257"/>
    </row>
    <row r="258" spans="1:1" x14ac:dyDescent="0.3">
      <c r="A258"/>
    </row>
    <row r="259" spans="1:1" x14ac:dyDescent="0.3">
      <c r="A259"/>
    </row>
    <row r="260" spans="1:1" x14ac:dyDescent="0.3">
      <c r="A260"/>
    </row>
    <row r="261" spans="1:1" x14ac:dyDescent="0.3">
      <c r="A261"/>
    </row>
    <row r="262" spans="1:1" x14ac:dyDescent="0.3">
      <c r="A262"/>
    </row>
    <row r="263" spans="1:1" x14ac:dyDescent="0.3">
      <c r="A263"/>
    </row>
    <row r="264" spans="1:1" x14ac:dyDescent="0.3">
      <c r="A264"/>
    </row>
    <row r="265" spans="1:1" x14ac:dyDescent="0.3">
      <c r="A265"/>
    </row>
    <row r="266" spans="1:1" x14ac:dyDescent="0.3">
      <c r="A266"/>
    </row>
    <row r="267" spans="1:1" x14ac:dyDescent="0.3">
      <c r="A267"/>
    </row>
    <row r="268" spans="1:1" x14ac:dyDescent="0.3">
      <c r="A268"/>
    </row>
    <row r="269" spans="1:1" x14ac:dyDescent="0.3">
      <c r="A269"/>
    </row>
    <row r="270" spans="1:1" x14ac:dyDescent="0.3">
      <c r="A270"/>
    </row>
    <row r="271" spans="1:1" x14ac:dyDescent="0.3">
      <c r="A271"/>
    </row>
    <row r="272" spans="1:1" x14ac:dyDescent="0.3">
      <c r="A272"/>
    </row>
    <row r="273" spans="1:1" x14ac:dyDescent="0.3">
      <c r="A273"/>
    </row>
    <row r="274" spans="1:1" x14ac:dyDescent="0.3">
      <c r="A274"/>
    </row>
    <row r="275" spans="1:1" x14ac:dyDescent="0.3">
      <c r="A275"/>
    </row>
    <row r="276" spans="1:1" x14ac:dyDescent="0.3">
      <c r="A276"/>
    </row>
    <row r="277" spans="1:1" x14ac:dyDescent="0.3">
      <c r="A277"/>
    </row>
    <row r="278" spans="1:1" x14ac:dyDescent="0.3">
      <c r="A278"/>
    </row>
    <row r="279" spans="1:1" x14ac:dyDescent="0.3">
      <c r="A279"/>
    </row>
    <row r="280" spans="1:1" x14ac:dyDescent="0.3">
      <c r="A280"/>
    </row>
    <row r="281" spans="1:1" x14ac:dyDescent="0.3">
      <c r="A281"/>
    </row>
    <row r="282" spans="1:1" x14ac:dyDescent="0.3">
      <c r="A282"/>
    </row>
    <row r="283" spans="1:1" x14ac:dyDescent="0.3">
      <c r="A283"/>
    </row>
    <row r="284" spans="1:1" x14ac:dyDescent="0.3">
      <c r="A284"/>
    </row>
    <row r="285" spans="1:1" x14ac:dyDescent="0.3">
      <c r="A285"/>
    </row>
    <row r="286" spans="1:1" x14ac:dyDescent="0.3">
      <c r="A286"/>
    </row>
    <row r="287" spans="1:1" x14ac:dyDescent="0.3">
      <c r="A287"/>
    </row>
    <row r="288" spans="1:1" x14ac:dyDescent="0.3">
      <c r="A288"/>
    </row>
    <row r="289" spans="1:1" x14ac:dyDescent="0.3">
      <c r="A289"/>
    </row>
    <row r="290" spans="1:1" x14ac:dyDescent="0.3">
      <c r="A290"/>
    </row>
    <row r="291" spans="1:1" x14ac:dyDescent="0.3">
      <c r="A291"/>
    </row>
    <row r="292" spans="1:1" x14ac:dyDescent="0.3">
      <c r="A292"/>
    </row>
    <row r="293" spans="1:1" x14ac:dyDescent="0.3">
      <c r="A293"/>
    </row>
    <row r="294" spans="1:1" x14ac:dyDescent="0.3">
      <c r="A294"/>
    </row>
    <row r="295" spans="1:1" x14ac:dyDescent="0.3">
      <c r="A295"/>
    </row>
    <row r="296" spans="1:1" x14ac:dyDescent="0.3">
      <c r="A296"/>
    </row>
    <row r="297" spans="1:1" x14ac:dyDescent="0.3">
      <c r="A297"/>
    </row>
    <row r="298" spans="1:1" x14ac:dyDescent="0.3">
      <c r="A298"/>
    </row>
    <row r="299" spans="1:1" x14ac:dyDescent="0.3">
      <c r="A299"/>
    </row>
    <row r="300" spans="1:1" x14ac:dyDescent="0.3">
      <c r="A300"/>
    </row>
    <row r="301" spans="1:1" x14ac:dyDescent="0.3">
      <c r="A301"/>
    </row>
    <row r="302" spans="1:1" x14ac:dyDescent="0.3">
      <c r="A302"/>
    </row>
    <row r="303" spans="1:1" x14ac:dyDescent="0.3">
      <c r="A303"/>
    </row>
    <row r="304" spans="1:1" x14ac:dyDescent="0.3">
      <c r="A304"/>
    </row>
    <row r="305" spans="1:1" x14ac:dyDescent="0.3">
      <c r="A305"/>
    </row>
    <row r="306" spans="1:1" x14ac:dyDescent="0.3">
      <c r="A306"/>
    </row>
    <row r="307" spans="1:1" x14ac:dyDescent="0.3">
      <c r="A307"/>
    </row>
    <row r="308" spans="1:1" x14ac:dyDescent="0.3">
      <c r="A308"/>
    </row>
    <row r="309" spans="1:1" x14ac:dyDescent="0.3">
      <c r="A309"/>
    </row>
    <row r="310" spans="1:1" x14ac:dyDescent="0.3">
      <c r="A310"/>
    </row>
    <row r="311" spans="1:1" x14ac:dyDescent="0.3">
      <c r="A311"/>
    </row>
    <row r="312" spans="1:1" x14ac:dyDescent="0.3">
      <c r="A312"/>
    </row>
    <row r="313" spans="1:1" x14ac:dyDescent="0.3">
      <c r="A313"/>
    </row>
    <row r="314" spans="1:1" x14ac:dyDescent="0.3">
      <c r="A314"/>
    </row>
    <row r="315" spans="1:1" x14ac:dyDescent="0.3">
      <c r="A315"/>
    </row>
    <row r="316" spans="1:1" x14ac:dyDescent="0.3">
      <c r="A316"/>
    </row>
    <row r="317" spans="1:1" x14ac:dyDescent="0.3">
      <c r="A317"/>
    </row>
    <row r="318" spans="1:1" x14ac:dyDescent="0.3">
      <c r="A318"/>
    </row>
    <row r="319" spans="1:1" x14ac:dyDescent="0.3">
      <c r="A319"/>
    </row>
    <row r="320" spans="1:1" x14ac:dyDescent="0.3">
      <c r="A320"/>
    </row>
    <row r="321" spans="1:1" x14ac:dyDescent="0.3">
      <c r="A321"/>
    </row>
    <row r="322" spans="1:1" x14ac:dyDescent="0.3">
      <c r="A322"/>
    </row>
    <row r="323" spans="1:1" x14ac:dyDescent="0.3">
      <c r="A323"/>
    </row>
    <row r="324" spans="1:1" x14ac:dyDescent="0.3">
      <c r="A324"/>
    </row>
    <row r="325" spans="1:1" x14ac:dyDescent="0.3">
      <c r="A325"/>
    </row>
    <row r="326" spans="1:1" x14ac:dyDescent="0.3">
      <c r="A326"/>
    </row>
    <row r="327" spans="1:1" x14ac:dyDescent="0.3">
      <c r="A327"/>
    </row>
    <row r="328" spans="1:1" x14ac:dyDescent="0.3">
      <c r="A328"/>
    </row>
    <row r="329" spans="1:1" x14ac:dyDescent="0.3">
      <c r="A329"/>
    </row>
    <row r="330" spans="1:1" x14ac:dyDescent="0.3">
      <c r="A330"/>
    </row>
    <row r="331" spans="1:1" x14ac:dyDescent="0.3">
      <c r="A331"/>
    </row>
    <row r="332" spans="1:1" x14ac:dyDescent="0.3">
      <c r="A332"/>
    </row>
    <row r="333" spans="1:1" x14ac:dyDescent="0.3">
      <c r="A333"/>
    </row>
    <row r="334" spans="1:1" x14ac:dyDescent="0.3">
      <c r="A334"/>
    </row>
    <row r="335" spans="1:1" x14ac:dyDescent="0.3">
      <c r="A335"/>
    </row>
    <row r="336" spans="1:1" x14ac:dyDescent="0.3">
      <c r="A336"/>
    </row>
    <row r="337" spans="1:1" x14ac:dyDescent="0.3">
      <c r="A337"/>
    </row>
    <row r="338" spans="1:1" x14ac:dyDescent="0.3">
      <c r="A338"/>
    </row>
    <row r="339" spans="1:1" x14ac:dyDescent="0.3">
      <c r="A339"/>
    </row>
    <row r="340" spans="1:1" x14ac:dyDescent="0.3">
      <c r="A340"/>
    </row>
    <row r="341" spans="1:1" x14ac:dyDescent="0.3">
      <c r="A341"/>
    </row>
    <row r="342" spans="1:1" x14ac:dyDescent="0.3">
      <c r="A342"/>
    </row>
    <row r="343" spans="1:1" x14ac:dyDescent="0.3">
      <c r="A343"/>
    </row>
    <row r="344" spans="1:1" x14ac:dyDescent="0.3">
      <c r="A344"/>
    </row>
    <row r="345" spans="1:1" x14ac:dyDescent="0.3">
      <c r="A345"/>
    </row>
    <row r="346" spans="1:1" x14ac:dyDescent="0.3">
      <c r="A346"/>
    </row>
    <row r="347" spans="1:1" x14ac:dyDescent="0.3">
      <c r="A347"/>
    </row>
    <row r="348" spans="1:1" x14ac:dyDescent="0.3">
      <c r="A348"/>
    </row>
    <row r="349" spans="1:1" x14ac:dyDescent="0.3">
      <c r="A349"/>
    </row>
    <row r="350" spans="1:1" x14ac:dyDescent="0.3">
      <c r="A350"/>
    </row>
    <row r="351" spans="1:1" x14ac:dyDescent="0.3">
      <c r="A351"/>
    </row>
    <row r="352" spans="1:1" x14ac:dyDescent="0.3">
      <c r="A352"/>
    </row>
    <row r="353" spans="1:1" x14ac:dyDescent="0.3">
      <c r="A353"/>
    </row>
    <row r="354" spans="1:1" x14ac:dyDescent="0.3">
      <c r="A354"/>
    </row>
    <row r="355" spans="1:1" x14ac:dyDescent="0.3">
      <c r="A355"/>
    </row>
    <row r="356" spans="1:1" x14ac:dyDescent="0.3">
      <c r="A356"/>
    </row>
    <row r="357" spans="1:1" x14ac:dyDescent="0.3">
      <c r="A357"/>
    </row>
    <row r="358" spans="1:1" x14ac:dyDescent="0.3">
      <c r="A358"/>
    </row>
    <row r="359" spans="1:1" x14ac:dyDescent="0.3">
      <c r="A359"/>
    </row>
    <row r="360" spans="1:1" x14ac:dyDescent="0.3">
      <c r="A360"/>
    </row>
    <row r="361" spans="1:1" x14ac:dyDescent="0.3">
      <c r="A361"/>
    </row>
    <row r="362" spans="1:1" x14ac:dyDescent="0.3">
      <c r="A362"/>
    </row>
    <row r="363" spans="1:1" x14ac:dyDescent="0.3">
      <c r="A363"/>
    </row>
    <row r="364" spans="1:1" x14ac:dyDescent="0.3">
      <c r="A364"/>
    </row>
    <row r="365" spans="1:1" x14ac:dyDescent="0.3">
      <c r="A365"/>
    </row>
    <row r="366" spans="1:1" x14ac:dyDescent="0.3">
      <c r="A366"/>
    </row>
    <row r="367" spans="1:1" x14ac:dyDescent="0.3">
      <c r="A367"/>
    </row>
    <row r="368" spans="1:1" x14ac:dyDescent="0.3">
      <c r="A368"/>
    </row>
    <row r="369" spans="1:1" x14ac:dyDescent="0.3">
      <c r="A369"/>
    </row>
    <row r="370" spans="1:1" x14ac:dyDescent="0.3">
      <c r="A370"/>
    </row>
    <row r="371" spans="1:1" x14ac:dyDescent="0.3">
      <c r="A371"/>
    </row>
    <row r="372" spans="1:1" x14ac:dyDescent="0.3">
      <c r="A372"/>
    </row>
    <row r="373" spans="1:1" x14ac:dyDescent="0.3">
      <c r="A373"/>
    </row>
    <row r="374" spans="1:1" x14ac:dyDescent="0.3">
      <c r="A374"/>
    </row>
    <row r="375" spans="1:1" x14ac:dyDescent="0.3">
      <c r="A375"/>
    </row>
    <row r="376" spans="1:1" x14ac:dyDescent="0.3">
      <c r="A376"/>
    </row>
    <row r="377" spans="1:1" x14ac:dyDescent="0.3">
      <c r="A377"/>
    </row>
    <row r="378" spans="1:1" x14ac:dyDescent="0.3">
      <c r="A378"/>
    </row>
    <row r="379" spans="1:1" x14ac:dyDescent="0.3">
      <c r="A379"/>
    </row>
    <row r="380" spans="1:1" x14ac:dyDescent="0.3">
      <c r="A380"/>
    </row>
    <row r="381" spans="1:1" x14ac:dyDescent="0.3">
      <c r="A381"/>
    </row>
    <row r="382" spans="1:1" x14ac:dyDescent="0.3">
      <c r="A382"/>
    </row>
    <row r="383" spans="1:1" x14ac:dyDescent="0.3">
      <c r="A383"/>
    </row>
    <row r="384" spans="1:1" x14ac:dyDescent="0.3">
      <c r="A384"/>
    </row>
    <row r="385" spans="1:1" x14ac:dyDescent="0.3">
      <c r="A385"/>
    </row>
    <row r="386" spans="1:1" x14ac:dyDescent="0.3">
      <c r="A386"/>
    </row>
    <row r="387" spans="1:1" x14ac:dyDescent="0.3">
      <c r="A387"/>
    </row>
    <row r="388" spans="1:1" x14ac:dyDescent="0.3">
      <c r="A388"/>
    </row>
    <row r="389" spans="1:1" x14ac:dyDescent="0.3">
      <c r="A389"/>
    </row>
    <row r="390" spans="1:1" x14ac:dyDescent="0.3">
      <c r="A390"/>
    </row>
    <row r="391" spans="1:1" x14ac:dyDescent="0.3">
      <c r="A391"/>
    </row>
    <row r="392" spans="1:1" x14ac:dyDescent="0.3">
      <c r="A392"/>
    </row>
    <row r="393" spans="1:1" x14ac:dyDescent="0.3">
      <c r="A393"/>
    </row>
    <row r="394" spans="1:1" x14ac:dyDescent="0.3">
      <c r="A394"/>
    </row>
    <row r="395" spans="1:1" x14ac:dyDescent="0.3">
      <c r="A395"/>
    </row>
    <row r="396" spans="1:1" x14ac:dyDescent="0.3">
      <c r="A396"/>
    </row>
    <row r="397" spans="1:1" x14ac:dyDescent="0.3">
      <c r="A397"/>
    </row>
    <row r="398" spans="1:1" x14ac:dyDescent="0.3">
      <c r="A398"/>
    </row>
    <row r="399" spans="1:1" x14ac:dyDescent="0.3">
      <c r="A399"/>
    </row>
    <row r="400" spans="1:1" x14ac:dyDescent="0.3">
      <c r="A400"/>
    </row>
    <row r="401" spans="1:1" x14ac:dyDescent="0.3">
      <c r="A401"/>
    </row>
    <row r="402" spans="1:1" x14ac:dyDescent="0.3">
      <c r="A402"/>
    </row>
    <row r="403" spans="1:1" x14ac:dyDescent="0.3">
      <c r="A403"/>
    </row>
    <row r="404" spans="1:1" x14ac:dyDescent="0.3">
      <c r="A404"/>
    </row>
    <row r="405" spans="1:1" x14ac:dyDescent="0.3">
      <c r="A405"/>
    </row>
    <row r="406" spans="1:1" x14ac:dyDescent="0.3">
      <c r="A406"/>
    </row>
    <row r="407" spans="1:1" x14ac:dyDescent="0.3">
      <c r="A407"/>
    </row>
    <row r="408" spans="1:1" x14ac:dyDescent="0.3">
      <c r="A408"/>
    </row>
    <row r="409" spans="1:1" x14ac:dyDescent="0.3">
      <c r="A409"/>
    </row>
    <row r="410" spans="1:1" x14ac:dyDescent="0.3">
      <c r="A410"/>
    </row>
    <row r="411" spans="1:1" x14ac:dyDescent="0.3">
      <c r="A411"/>
    </row>
    <row r="412" spans="1:1" x14ac:dyDescent="0.3">
      <c r="A412"/>
    </row>
    <row r="413" spans="1:1" x14ac:dyDescent="0.3">
      <c r="A413"/>
    </row>
    <row r="414" spans="1:1" x14ac:dyDescent="0.3">
      <c r="A414"/>
    </row>
    <row r="415" spans="1:1" x14ac:dyDescent="0.3">
      <c r="A415"/>
    </row>
    <row r="416" spans="1:1" x14ac:dyDescent="0.3">
      <c r="A416"/>
    </row>
    <row r="417" spans="1:1" x14ac:dyDescent="0.3">
      <c r="A417"/>
    </row>
    <row r="418" spans="1:1" x14ac:dyDescent="0.3">
      <c r="A418"/>
    </row>
    <row r="419" spans="1:1" x14ac:dyDescent="0.3">
      <c r="A419"/>
    </row>
    <row r="420" spans="1:1" x14ac:dyDescent="0.3">
      <c r="A420"/>
    </row>
    <row r="421" spans="1:1" x14ac:dyDescent="0.3">
      <c r="A421"/>
    </row>
    <row r="422" spans="1:1" x14ac:dyDescent="0.3">
      <c r="A422"/>
    </row>
    <row r="423" spans="1:1" x14ac:dyDescent="0.3">
      <c r="A423"/>
    </row>
    <row r="424" spans="1:1" x14ac:dyDescent="0.3">
      <c r="A424"/>
    </row>
    <row r="425" spans="1:1" x14ac:dyDescent="0.3">
      <c r="A425"/>
    </row>
    <row r="426" spans="1:1" x14ac:dyDescent="0.3">
      <c r="A426"/>
    </row>
    <row r="427" spans="1:1" x14ac:dyDescent="0.3">
      <c r="A427"/>
    </row>
    <row r="428" spans="1:1" x14ac:dyDescent="0.3">
      <c r="A428"/>
    </row>
    <row r="429" spans="1:1" x14ac:dyDescent="0.3">
      <c r="A429"/>
    </row>
    <row r="430" spans="1:1" x14ac:dyDescent="0.3">
      <c r="A430"/>
    </row>
    <row r="431" spans="1:1" x14ac:dyDescent="0.3">
      <c r="A431"/>
    </row>
    <row r="432" spans="1:1" x14ac:dyDescent="0.3">
      <c r="A432"/>
    </row>
    <row r="433" spans="1:1" x14ac:dyDescent="0.3">
      <c r="A433"/>
    </row>
    <row r="434" spans="1:1" x14ac:dyDescent="0.3">
      <c r="A434"/>
    </row>
    <row r="435" spans="1:1" x14ac:dyDescent="0.3">
      <c r="A435"/>
    </row>
    <row r="436" spans="1:1" x14ac:dyDescent="0.3">
      <c r="A436"/>
    </row>
    <row r="437" spans="1:1" x14ac:dyDescent="0.3">
      <c r="A437"/>
    </row>
    <row r="438" spans="1:1" x14ac:dyDescent="0.3">
      <c r="A438"/>
    </row>
    <row r="439" spans="1:1" x14ac:dyDescent="0.3">
      <c r="A439"/>
    </row>
    <row r="440" spans="1:1" x14ac:dyDescent="0.3">
      <c r="A440"/>
    </row>
    <row r="441" spans="1:1" x14ac:dyDescent="0.3">
      <c r="A441"/>
    </row>
    <row r="442" spans="1:1" x14ac:dyDescent="0.3">
      <c r="A442"/>
    </row>
    <row r="443" spans="1:1" x14ac:dyDescent="0.3">
      <c r="A443"/>
    </row>
    <row r="444" spans="1:1" x14ac:dyDescent="0.3">
      <c r="A444"/>
    </row>
    <row r="445" spans="1:1" x14ac:dyDescent="0.3">
      <c r="A445"/>
    </row>
    <row r="446" spans="1:1" x14ac:dyDescent="0.3">
      <c r="A446"/>
    </row>
    <row r="447" spans="1:1" x14ac:dyDescent="0.3">
      <c r="A447"/>
    </row>
    <row r="448" spans="1:1" x14ac:dyDescent="0.3">
      <c r="A448"/>
    </row>
    <row r="449" spans="1:1" x14ac:dyDescent="0.3">
      <c r="A449"/>
    </row>
    <row r="450" spans="1:1" x14ac:dyDescent="0.3">
      <c r="A450"/>
    </row>
    <row r="451" spans="1:1" x14ac:dyDescent="0.3">
      <c r="A451"/>
    </row>
    <row r="452" spans="1:1" x14ac:dyDescent="0.3">
      <c r="A452"/>
    </row>
    <row r="453" spans="1:1" x14ac:dyDescent="0.3">
      <c r="A453"/>
    </row>
    <row r="454" spans="1:1" x14ac:dyDescent="0.3">
      <c r="A454"/>
    </row>
    <row r="455" spans="1:1" x14ac:dyDescent="0.3">
      <c r="A455"/>
    </row>
    <row r="456" spans="1:1" x14ac:dyDescent="0.3">
      <c r="A456"/>
    </row>
    <row r="457" spans="1:1" x14ac:dyDescent="0.3">
      <c r="A457"/>
    </row>
    <row r="458" spans="1:1" x14ac:dyDescent="0.3">
      <c r="A458"/>
    </row>
    <row r="459" spans="1:1" x14ac:dyDescent="0.3">
      <c r="A459"/>
    </row>
    <row r="460" spans="1:1" x14ac:dyDescent="0.3">
      <c r="A460"/>
    </row>
    <row r="461" spans="1:1" x14ac:dyDescent="0.3">
      <c r="A461"/>
    </row>
    <row r="462" spans="1:1" x14ac:dyDescent="0.3">
      <c r="A462"/>
    </row>
    <row r="463" spans="1:1" x14ac:dyDescent="0.3">
      <c r="A463"/>
    </row>
    <row r="464" spans="1:1" x14ac:dyDescent="0.3">
      <c r="A464"/>
    </row>
    <row r="465" spans="1:1" x14ac:dyDescent="0.3">
      <c r="A465"/>
    </row>
    <row r="466" spans="1:1" x14ac:dyDescent="0.3">
      <c r="A466"/>
    </row>
    <row r="467" spans="1:1" x14ac:dyDescent="0.3">
      <c r="A467"/>
    </row>
    <row r="468" spans="1:1" x14ac:dyDescent="0.3">
      <c r="A468"/>
    </row>
    <row r="469" spans="1:1" x14ac:dyDescent="0.3">
      <c r="A469"/>
    </row>
    <row r="470" spans="1:1" x14ac:dyDescent="0.3">
      <c r="A470"/>
    </row>
    <row r="471" spans="1:1" x14ac:dyDescent="0.3">
      <c r="A471"/>
    </row>
    <row r="472" spans="1:1" x14ac:dyDescent="0.3">
      <c r="A472"/>
    </row>
    <row r="473" spans="1:1" x14ac:dyDescent="0.3">
      <c r="A473"/>
    </row>
    <row r="474" spans="1:1" x14ac:dyDescent="0.3">
      <c r="A474"/>
    </row>
    <row r="475" spans="1:1" x14ac:dyDescent="0.3">
      <c r="A475"/>
    </row>
    <row r="476" spans="1:1" x14ac:dyDescent="0.3">
      <c r="A476"/>
    </row>
    <row r="477" spans="1:1" x14ac:dyDescent="0.3">
      <c r="A477"/>
    </row>
    <row r="478" spans="1:1" x14ac:dyDescent="0.3">
      <c r="A478"/>
    </row>
    <row r="479" spans="1:1" x14ac:dyDescent="0.3">
      <c r="A479"/>
    </row>
    <row r="480" spans="1:1" x14ac:dyDescent="0.3">
      <c r="A480"/>
    </row>
    <row r="481" spans="1:1" x14ac:dyDescent="0.3">
      <c r="A481"/>
    </row>
    <row r="482" spans="1:1" x14ac:dyDescent="0.3">
      <c r="A482"/>
    </row>
    <row r="483" spans="1:1" x14ac:dyDescent="0.3">
      <c r="A483"/>
    </row>
    <row r="484" spans="1:1" x14ac:dyDescent="0.3">
      <c r="A484"/>
    </row>
    <row r="485" spans="1:1" x14ac:dyDescent="0.3">
      <c r="A485"/>
    </row>
    <row r="486" spans="1:1" x14ac:dyDescent="0.3">
      <c r="A486"/>
    </row>
    <row r="487" spans="1:1" x14ac:dyDescent="0.3">
      <c r="A487"/>
    </row>
    <row r="488" spans="1:1" x14ac:dyDescent="0.3">
      <c r="A488"/>
    </row>
    <row r="489" spans="1:1" x14ac:dyDescent="0.3">
      <c r="A489"/>
    </row>
    <row r="490" spans="1:1" x14ac:dyDescent="0.3">
      <c r="A490"/>
    </row>
    <row r="491" spans="1:1" x14ac:dyDescent="0.3">
      <c r="A491"/>
    </row>
    <row r="492" spans="1:1" x14ac:dyDescent="0.3">
      <c r="A492"/>
    </row>
    <row r="493" spans="1:1" x14ac:dyDescent="0.3">
      <c r="A493"/>
    </row>
    <row r="494" spans="1:1" x14ac:dyDescent="0.3">
      <c r="A494"/>
    </row>
    <row r="495" spans="1:1" x14ac:dyDescent="0.3">
      <c r="A495"/>
    </row>
    <row r="496" spans="1:1" x14ac:dyDescent="0.3">
      <c r="A496"/>
    </row>
    <row r="497" spans="1:1" x14ac:dyDescent="0.3">
      <c r="A497"/>
    </row>
    <row r="498" spans="1:1" x14ac:dyDescent="0.3">
      <c r="A498"/>
    </row>
    <row r="499" spans="1:1" x14ac:dyDescent="0.3">
      <c r="A499"/>
    </row>
    <row r="500" spans="1:1" x14ac:dyDescent="0.3">
      <c r="A500"/>
    </row>
    <row r="501" spans="1:1" x14ac:dyDescent="0.3">
      <c r="A501"/>
    </row>
    <row r="502" spans="1:1" x14ac:dyDescent="0.3">
      <c r="A502"/>
    </row>
    <row r="503" spans="1:1" x14ac:dyDescent="0.3">
      <c r="A503"/>
    </row>
    <row r="504" spans="1:1" x14ac:dyDescent="0.3">
      <c r="A504"/>
    </row>
    <row r="505" spans="1:1" x14ac:dyDescent="0.3">
      <c r="A505"/>
    </row>
    <row r="506" spans="1:1" x14ac:dyDescent="0.3">
      <c r="A506"/>
    </row>
    <row r="507" spans="1:1" x14ac:dyDescent="0.3">
      <c r="A507"/>
    </row>
    <row r="508" spans="1:1" x14ac:dyDescent="0.3">
      <c r="A508"/>
    </row>
    <row r="509" spans="1:1" x14ac:dyDescent="0.3">
      <c r="A509"/>
    </row>
    <row r="510" spans="1:1" x14ac:dyDescent="0.3">
      <c r="A510"/>
    </row>
    <row r="511" spans="1:1" x14ac:dyDescent="0.3">
      <c r="A511"/>
    </row>
    <row r="512" spans="1:1" x14ac:dyDescent="0.3">
      <c r="A512"/>
    </row>
    <row r="513" spans="1:1" x14ac:dyDescent="0.3">
      <c r="A513"/>
    </row>
    <row r="514" spans="1:1" x14ac:dyDescent="0.3">
      <c r="A514"/>
    </row>
    <row r="515" spans="1:1" x14ac:dyDescent="0.3">
      <c r="A515"/>
    </row>
    <row r="516" spans="1:1" x14ac:dyDescent="0.3">
      <c r="A516"/>
    </row>
    <row r="517" spans="1:1" x14ac:dyDescent="0.3">
      <c r="A517"/>
    </row>
    <row r="518" spans="1:1" x14ac:dyDescent="0.3">
      <c r="A518"/>
    </row>
    <row r="519" spans="1:1" x14ac:dyDescent="0.3">
      <c r="A519"/>
    </row>
    <row r="520" spans="1:1" x14ac:dyDescent="0.3">
      <c r="A520"/>
    </row>
    <row r="521" spans="1:1" x14ac:dyDescent="0.3">
      <c r="A521"/>
    </row>
    <row r="522" spans="1:1" x14ac:dyDescent="0.3">
      <c r="A522"/>
    </row>
    <row r="523" spans="1:1" x14ac:dyDescent="0.3">
      <c r="A523"/>
    </row>
    <row r="524" spans="1:1" x14ac:dyDescent="0.3">
      <c r="A524"/>
    </row>
    <row r="525" spans="1:1" x14ac:dyDescent="0.3">
      <c r="A525"/>
    </row>
    <row r="526" spans="1:1" x14ac:dyDescent="0.3">
      <c r="A526"/>
    </row>
    <row r="527" spans="1:1" x14ac:dyDescent="0.3">
      <c r="A527"/>
    </row>
    <row r="528" spans="1:1" x14ac:dyDescent="0.3">
      <c r="A528"/>
    </row>
    <row r="529" spans="1:1" x14ac:dyDescent="0.3">
      <c r="A529"/>
    </row>
    <row r="530" spans="1:1" x14ac:dyDescent="0.3">
      <c r="A530"/>
    </row>
    <row r="531" spans="1:1" x14ac:dyDescent="0.3">
      <c r="A531"/>
    </row>
    <row r="532" spans="1:1" x14ac:dyDescent="0.3">
      <c r="A532"/>
    </row>
    <row r="533" spans="1:1" x14ac:dyDescent="0.3">
      <c r="A533"/>
    </row>
    <row r="534" spans="1:1" x14ac:dyDescent="0.3">
      <c r="A534"/>
    </row>
    <row r="535" spans="1:1" x14ac:dyDescent="0.3">
      <c r="A535"/>
    </row>
    <row r="536" spans="1:1" x14ac:dyDescent="0.3">
      <c r="A536"/>
    </row>
    <row r="537" spans="1:1" x14ac:dyDescent="0.3">
      <c r="A537"/>
    </row>
    <row r="538" spans="1:1" x14ac:dyDescent="0.3">
      <c r="A538"/>
    </row>
    <row r="539" spans="1:1" x14ac:dyDescent="0.3">
      <c r="A539"/>
    </row>
  </sheetData>
  <phoneticPr fontId="1" type="noConversion"/>
  <conditionalFormatting sqref="B1:F1">
    <cfRule type="expression" dxfId="4" priority="4">
      <formula>$A1&lt;&gt;""</formula>
    </cfRule>
  </conditionalFormatting>
  <conditionalFormatting sqref="C2:F2">
    <cfRule type="expression" dxfId="3" priority="1">
      <formula>$A2&lt;&gt;""</formula>
    </cfRule>
  </conditionalFormatting>
  <conditionalFormatting sqref="A1:A6 A540:A1048576">
    <cfRule type="expression" dxfId="2" priority="2">
      <formula>$A1&lt;&gt;""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5</vt:i4>
      </vt:variant>
    </vt:vector>
  </HeadingPairs>
  <TitlesOfParts>
    <vt:vector size="13" baseType="lpstr">
      <vt:lpstr>Main</vt:lpstr>
      <vt:lpstr>거래처</vt:lpstr>
      <vt:lpstr>품목</vt:lpstr>
      <vt:lpstr>발주리스트</vt:lpstr>
      <vt:lpstr>주문서</vt:lpstr>
      <vt:lpstr>내역서</vt:lpstr>
      <vt:lpstr>Data1</vt:lpstr>
      <vt:lpstr>Data2</vt:lpstr>
      <vt:lpstr>Data1!Criteria</vt:lpstr>
      <vt:lpstr>Data2!Criteria</vt:lpstr>
      <vt:lpstr>Data1!Extract</vt:lpstr>
      <vt:lpstr>Data2!Extract</vt:lpstr>
      <vt:lpstr>주문서!Print_Area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Administrator</cp:lastModifiedBy>
  <cp:lastPrinted>2020-05-25T13:45:08Z</cp:lastPrinted>
  <dcterms:created xsi:type="dcterms:W3CDTF">2018-04-05T23:41:06Z</dcterms:created>
  <dcterms:modified xsi:type="dcterms:W3CDTF">2020-05-25T15:17:21Z</dcterms:modified>
</cp:coreProperties>
</file>