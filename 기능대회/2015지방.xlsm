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763DEE6C-8345-4AF6-A018-C13A7F440135}" xr6:coauthVersionLast="45" xr6:coauthVersionMax="45" xr10:uidLastSave="{00000000-0000-0000-0000-000000000000}"/>
  <bookViews>
    <workbookView xWindow="-120" yWindow="-120" windowWidth="29040" windowHeight="15840" activeTab="1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1" i="2" l="1"/>
  <c r="F21" i="2" s="1"/>
  <c r="C2" i="6" l="1"/>
  <c r="E2" i="6" l="1"/>
  <c r="E3" i="6"/>
  <c r="E4" i="6"/>
  <c r="E5" i="6"/>
  <c r="E6" i="6"/>
  <c r="E7" i="6"/>
  <c r="D1" i="6"/>
  <c r="B2" i="6" l="1"/>
  <c r="B3" i="6"/>
  <c r="B4" i="6"/>
  <c r="B5" i="6"/>
  <c r="B6" i="6"/>
  <c r="B7" i="6"/>
  <c r="G31" i="4" a="1"/>
  <c r="G31" i="4" l="1"/>
  <c r="C3" i="6"/>
  <c r="C7" i="6"/>
  <c r="C6" i="6"/>
  <c r="C5" i="6"/>
  <c r="C4" i="6"/>
  <c r="H30" i="4"/>
  <c r="G30" i="4"/>
  <c r="G4" i="2" l="1"/>
  <c r="F4" i="2" s="1"/>
  <c r="G20" i="2" l="1"/>
  <c r="F20" i="2" s="1"/>
  <c r="G19" i="2"/>
  <c r="F19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  <c r="G11" i="4" a="1"/>
  <c r="G21" i="4" a="1"/>
  <c r="G18" i="4" a="1"/>
  <c r="G9" i="4" a="1"/>
  <c r="G6" i="4" a="1"/>
  <c r="G12" i="4" a="1"/>
  <c r="G16" i="4" a="1"/>
  <c r="G15" i="4" a="1"/>
  <c r="G23" i="4" a="1"/>
  <c r="G5" i="4" a="1"/>
  <c r="G17" i="4" a="1"/>
  <c r="G26" i="4" a="1"/>
  <c r="G27" i="4" a="1"/>
  <c r="G19" i="4" a="1"/>
  <c r="G22" i="4" a="1"/>
  <c r="G24" i="4" a="1"/>
  <c r="G4" i="4" a="1"/>
  <c r="G14" i="4" a="1"/>
  <c r="G29" i="4" a="1"/>
  <c r="G13" i="4" a="1"/>
  <c r="G20" i="4" a="1"/>
  <c r="G28" i="4" a="1"/>
  <c r="G25" i="4" a="1"/>
  <c r="G8" i="4" a="1"/>
  <c r="G7" i="4" a="1"/>
  <c r="G10" i="4" a="1"/>
  <c r="G28" i="4" l="1"/>
  <c r="G24" i="4"/>
  <c r="G20" i="4"/>
  <c r="G16" i="4"/>
  <c r="G12" i="4"/>
  <c r="G8" i="4"/>
  <c r="G4" i="4"/>
  <c r="G27" i="4"/>
  <c r="G23" i="4"/>
  <c r="G19" i="4"/>
  <c r="G15" i="4"/>
  <c r="G11" i="4"/>
  <c r="G7" i="4"/>
  <c r="G26" i="4"/>
  <c r="G22" i="4"/>
  <c r="G18" i="4"/>
  <c r="G14" i="4"/>
  <c r="G10" i="4"/>
  <c r="G6" i="4"/>
  <c r="G29" i="4"/>
  <c r="G25" i="4"/>
  <c r="G21" i="4"/>
  <c r="G17" i="4"/>
  <c r="G13" i="4"/>
  <c r="G9" i="4"/>
  <c r="G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<sst xmlns="http://schemas.openxmlformats.org/spreadsheetml/2006/main" count="337" uniqueCount="206">
  <si>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</si>
  <si>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</si>
  <si>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</si>
  <si>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</si>
  <si>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</si>
  <si>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</si>
  <si>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</si>
  <si>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</si>
  <si>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</si>
  <si>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</si>
  <si>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</si>
  <si>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</si>
  <si>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</si>
  <si>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</si>
  <si>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</si>
  <si>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</si>
  <si>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</si>
  <si>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</si>
  <si>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</si>
  <si>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</si>
  <si>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</si>
  <si>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</si>
  <si>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</si>
  <si>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</si>
  <si>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</si>
  <si>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</si>
  <si>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</si>
  <si>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</si>
  <si>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</si>
  <si>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</si>
  <si>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</si>
  <si>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</si>
  <si>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</si>
  <si>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</si>
  <si>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</si>
  <si>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</si>
  <si>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</si>
  <si>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</si>
  <si>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</si>
  <si>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</si>
  <si>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</si>
  <si>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</si>
  <si>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</si>
  <si>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</si>
  <si>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</si>
  <si>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</si>
  <si>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</si>
  <si>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</si>
  <si>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</si>
  <si>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</si>
  <si>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</si>
  <si>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</si>
  <si>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</si>
  <si>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</si>
  <si>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</si>
  <si>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</si>
  <si>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</si>
  <si>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</si>
  <si>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</si>
  <si>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</si>
  <si>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</si>
  <si>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</si>
  <si>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</si>
  <si>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담당자</t>
    <phoneticPr fontId="3" type="noConversion"/>
  </si>
  <si>
    <t>S131978</t>
    <phoneticPr fontId="3" type="noConversion"/>
  </si>
  <si>
    <t>S131980</t>
    <phoneticPr fontId="3" type="noConversion"/>
  </si>
  <si>
    <t>S131981</t>
    <phoneticPr fontId="3" type="noConversion"/>
  </si>
  <si>
    <t>S131986</t>
    <phoneticPr fontId="3" type="noConversion"/>
  </si>
  <si>
    <t>S131989</t>
    <phoneticPr fontId="3" type="noConversion"/>
  </si>
  <si>
    <t>S131997</t>
    <phoneticPr fontId="3" type="noConversion"/>
  </si>
  <si>
    <t>S131999</t>
    <phoneticPr fontId="3" type="noConversion"/>
  </si>
  <si>
    <t>S132001</t>
    <phoneticPr fontId="3" type="noConversion"/>
  </si>
  <si>
    <t>S132006</t>
    <phoneticPr fontId="3" type="noConversion"/>
  </si>
  <si>
    <t>S132008</t>
    <phoneticPr fontId="3" type="noConversion"/>
  </si>
  <si>
    <t>S141988</t>
    <phoneticPr fontId="3" type="noConversion"/>
  </si>
  <si>
    <t>종신보험</t>
    <phoneticPr fontId="3" type="noConversion"/>
  </si>
  <si>
    <t>변액연금보험</t>
    <phoneticPr fontId="3" type="noConversion"/>
  </si>
  <si>
    <t>연금보험</t>
    <phoneticPr fontId="3" type="noConversion"/>
  </si>
  <si>
    <t>무배당암보험</t>
    <phoneticPr fontId="3" type="noConversion"/>
  </si>
  <si>
    <t>외료실비보험</t>
    <phoneticPr fontId="3" type="noConversion"/>
  </si>
  <si>
    <t>의료실비보험</t>
    <phoneticPr fontId="3" type="noConversion"/>
  </si>
  <si>
    <t>여성건강보험</t>
    <phoneticPr fontId="3" type="noConversion"/>
  </si>
  <si>
    <t>주청절</t>
    <phoneticPr fontId="3" type="noConversion"/>
  </si>
  <si>
    <t>납입보험료</t>
    <phoneticPr fontId="3" type="noConversion"/>
  </si>
  <si>
    <t>월보험료</t>
    <phoneticPr fontId="3" type="noConversion"/>
  </si>
  <si>
    <t>9월</t>
  </si>
  <si>
    <t>2012년</t>
  </si>
  <si>
    <t>2010년</t>
  </si>
  <si>
    <t>2009년</t>
  </si>
  <si>
    <t>2011년</t>
  </si>
  <si>
    <t>2013년</t>
  </si>
  <si>
    <t>2014년</t>
  </si>
  <si>
    <t>1월</t>
  </si>
  <si>
    <t>2월</t>
  </si>
  <si>
    <t>5월</t>
  </si>
  <si>
    <t>7월</t>
  </si>
  <si>
    <t>8월</t>
  </si>
  <si>
    <t>10월</t>
  </si>
  <si>
    <t>평균 : 가입금액</t>
  </si>
  <si>
    <t>개수 : 고객번호</t>
  </si>
  <si>
    <t>연</t>
  </si>
  <si>
    <t>가입일</t>
  </si>
  <si>
    <t>S142007</t>
    <phoneticPr fontId="3" type="noConversion"/>
  </si>
  <si>
    <t>S142016</t>
    <phoneticPr fontId="3" type="noConversion"/>
  </si>
  <si>
    <t>S141989</t>
    <phoneticPr fontId="3" type="noConversion"/>
  </si>
  <si>
    <t>S142003</t>
    <phoneticPr fontId="3" type="noConversion"/>
  </si>
  <si>
    <t>S141994</t>
    <phoneticPr fontId="3" type="noConversion"/>
  </si>
  <si>
    <t>S142013</t>
    <phoneticPr fontId="3" type="noConversion"/>
  </si>
  <si>
    <t>S142014</t>
    <phoneticPr fontId="3" type="noConversion"/>
  </si>
  <si>
    <t>번호</t>
    <phoneticPr fontId="3" type="noConversion"/>
  </si>
  <si>
    <t>성명</t>
    <phoneticPr fontId="3" type="noConversion"/>
  </si>
  <si>
    <t>생년월일</t>
    <phoneticPr fontId="3" type="noConversion"/>
  </si>
  <si>
    <t>연락처</t>
    <phoneticPr fontId="3" type="noConversion"/>
  </si>
  <si>
    <t>주소</t>
    <phoneticPr fontId="3" type="noConversion"/>
  </si>
  <si>
    <t>회사</t>
    <phoneticPr fontId="3" type="noConversion"/>
  </si>
  <si>
    <t>오상석</t>
    <phoneticPr fontId="3" type="noConversion"/>
  </si>
  <si>
    <t>이형운</t>
    <phoneticPr fontId="3" type="noConversion"/>
  </si>
  <si>
    <t>김영식</t>
    <phoneticPr fontId="3" type="noConversion"/>
  </si>
  <si>
    <t>차윤식</t>
    <phoneticPr fontId="3" type="noConversion"/>
  </si>
  <si>
    <t>이혜신</t>
    <phoneticPr fontId="3" type="noConversion"/>
  </si>
  <si>
    <t>오유나</t>
    <phoneticPr fontId="3" type="noConversion"/>
  </si>
  <si>
    <t>유준상</t>
    <phoneticPr fontId="3" type="noConversion"/>
  </si>
  <si>
    <t>한영우</t>
    <phoneticPr fontId="3" type="noConversion"/>
  </si>
  <si>
    <t>한혜정</t>
    <phoneticPr fontId="3" type="noConversion"/>
  </si>
  <si>
    <t>이남주</t>
    <phoneticPr fontId="3" type="noConversion"/>
  </si>
  <si>
    <t>박영옥</t>
    <phoneticPr fontId="3" type="noConversion"/>
  </si>
  <si>
    <t>윤다인</t>
    <phoneticPr fontId="3" type="noConversion"/>
  </si>
  <si>
    <t>김현필</t>
    <phoneticPr fontId="3" type="noConversion"/>
  </si>
  <si>
    <t>한상민</t>
    <phoneticPr fontId="3" type="noConversion"/>
  </si>
  <si>
    <t>박형준</t>
    <phoneticPr fontId="3" type="noConversion"/>
  </si>
  <si>
    <t>김성준</t>
    <phoneticPr fontId="3" type="noConversion"/>
  </si>
  <si>
    <t>이승현</t>
    <phoneticPr fontId="3" type="noConversion"/>
  </si>
  <si>
    <t>조시현</t>
    <phoneticPr fontId="3" type="noConversion"/>
  </si>
  <si>
    <t>권우진</t>
    <phoneticPr fontId="3" type="noConversion"/>
  </si>
  <si>
    <t>천진희</t>
    <phoneticPr fontId="3" type="noConversion"/>
  </si>
  <si>
    <t>051-229-1234</t>
    <phoneticPr fontId="3" type="noConversion"/>
  </si>
  <si>
    <t>010-333-1111</t>
    <phoneticPr fontId="3" type="noConversion"/>
  </si>
  <si>
    <t>051-801-7627</t>
    <phoneticPr fontId="3" type="noConversion"/>
  </si>
  <si>
    <t>051-508-8029</t>
    <phoneticPr fontId="3" type="noConversion"/>
  </si>
  <si>
    <t>051-321-5949</t>
    <phoneticPr fontId="3" type="noConversion"/>
  </si>
  <si>
    <t>051-383-4815</t>
    <phoneticPr fontId="3" type="noConversion"/>
  </si>
  <si>
    <t>051-355-6344</t>
    <phoneticPr fontId="3" type="noConversion"/>
  </si>
  <si>
    <t>010-1578-4228</t>
    <phoneticPr fontId="3" type="noConversion"/>
  </si>
  <si>
    <t>051-227-4581</t>
    <phoneticPr fontId="3" type="noConversion"/>
  </si>
  <si>
    <t>051-540-6425</t>
    <phoneticPr fontId="3" type="noConversion"/>
  </si>
  <si>
    <t>010-1132-4628</t>
    <phoneticPr fontId="3" type="noConversion"/>
  </si>
  <si>
    <t>051-214-3454</t>
    <phoneticPr fontId="3" type="noConversion"/>
  </si>
  <si>
    <t>051-123-4567</t>
    <phoneticPr fontId="3" type="noConversion"/>
  </si>
  <si>
    <t>051-913-2914</t>
    <phoneticPr fontId="3" type="noConversion"/>
  </si>
  <si>
    <t>010-5216-0414</t>
    <phoneticPr fontId="3" type="noConversion"/>
  </si>
  <si>
    <t>051-333-1324</t>
    <phoneticPr fontId="3" type="noConversion"/>
  </si>
  <si>
    <t>010-123-4567</t>
    <phoneticPr fontId="3" type="noConversion"/>
  </si>
  <si>
    <t>011-123-4657</t>
    <phoneticPr fontId="3" type="noConversion"/>
  </si>
  <si>
    <t>010-6456-4567</t>
    <phoneticPr fontId="3" type="noConversion"/>
  </si>
  <si>
    <t>051-223-4321</t>
    <phoneticPr fontId="3" type="noConversion"/>
  </si>
  <si>
    <t>부산시 수영구</t>
    <phoneticPr fontId="3" type="noConversion"/>
  </si>
  <si>
    <t>부산시 강서구</t>
    <phoneticPr fontId="3" type="noConversion"/>
  </si>
  <si>
    <t>부산시 부산진구</t>
    <phoneticPr fontId="3" type="noConversion"/>
  </si>
  <si>
    <t>부산시 남구</t>
    <phoneticPr fontId="3" type="noConversion"/>
  </si>
  <si>
    <t>부산시 해운대구</t>
    <phoneticPr fontId="3" type="noConversion"/>
  </si>
  <si>
    <t>부산시 북구</t>
    <phoneticPr fontId="3" type="noConversion"/>
  </si>
  <si>
    <t>부산시 동구</t>
    <phoneticPr fontId="3" type="noConversion"/>
  </si>
  <si>
    <t>양산시 교동</t>
    <phoneticPr fontId="3" type="noConversion"/>
  </si>
  <si>
    <t>울산시 중구</t>
    <phoneticPr fontId="3" type="noConversion"/>
  </si>
  <si>
    <t>울산시 동구</t>
    <phoneticPr fontId="3" type="noConversion"/>
  </si>
  <si>
    <t>한일상사</t>
    <phoneticPr fontId="3" type="noConversion"/>
  </si>
  <si>
    <t>왕성교역</t>
    <phoneticPr fontId="3" type="noConversion"/>
  </si>
  <si>
    <t>은하수유통</t>
    <phoneticPr fontId="3" type="noConversion"/>
  </si>
  <si>
    <t>백두무역</t>
    <phoneticPr fontId="3" type="noConversion"/>
  </si>
  <si>
    <t>신세계상사</t>
    <phoneticPr fontId="3" type="noConversion"/>
  </si>
  <si>
    <t>삼미상사</t>
    <phoneticPr fontId="3" type="noConversion"/>
  </si>
  <si>
    <t>관악유통</t>
    <phoneticPr fontId="3" type="noConversion"/>
  </si>
  <si>
    <t>대진상사</t>
    <phoneticPr fontId="3" type="noConversion"/>
  </si>
  <si>
    <t>한빛유통</t>
    <phoneticPr fontId="3" type="noConversion"/>
  </si>
  <si>
    <t>아틀란티스통상</t>
    <phoneticPr fontId="3" type="noConversion"/>
  </si>
  <si>
    <t>상도무역</t>
    <phoneticPr fontId="3" type="noConversion"/>
  </si>
  <si>
    <t>서희무역</t>
    <phoneticPr fontId="3" type="noConversion"/>
  </si>
  <si>
    <t>남해유통</t>
    <phoneticPr fontId="3" type="noConversion"/>
  </si>
  <si>
    <t>태평유통</t>
    <phoneticPr fontId="3" type="noConversion"/>
  </si>
  <si>
    <t>신세기상사</t>
    <phoneticPr fontId="3" type="noConversion"/>
  </si>
  <si>
    <t>글로벌통상</t>
    <phoneticPr fontId="3" type="noConversion"/>
  </si>
  <si>
    <t>나라백화점</t>
    <phoneticPr fontId="3" type="noConversion"/>
  </si>
  <si>
    <t>대리</t>
  </si>
  <si>
    <t>860608-1******</t>
    <phoneticPr fontId="3" type="noConversion"/>
  </si>
  <si>
    <t>681105-2******</t>
  </si>
  <si>
    <t>준장환</t>
    <phoneticPr fontId="3" type="noConversion"/>
  </si>
  <si>
    <t>식동숙</t>
  </si>
  <si>
    <t>식동숙</t>
    <phoneticPr fontId="3" type="noConversion"/>
  </si>
  <si>
    <t>엄주석</t>
    <phoneticPr fontId="3" type="noConversion"/>
  </si>
  <si>
    <t>,</t>
    <phoneticPr fontId="3" type="noConversion"/>
  </si>
  <si>
    <t>S202</t>
  </si>
  <si>
    <t>1</t>
  </si>
  <si>
    <t>S204</t>
  </si>
  <si>
    <t>2</t>
  </si>
  <si>
    <t>S2048</t>
  </si>
  <si>
    <t>24</t>
  </si>
  <si>
    <t>34</t>
  </si>
  <si>
    <t>S131989</t>
  </si>
  <si>
    <t>생명보험</t>
  </si>
  <si>
    <t>총가입수</t>
    <phoneticPr fontId="3" type="noConversion"/>
  </si>
  <si>
    <t>평균가입금액</t>
    <phoneticPr fontId="3" type="noConversion"/>
  </si>
  <si>
    <t>최대값</t>
    <phoneticPr fontId="3" type="noConversion"/>
  </si>
  <si>
    <t>이사</t>
  </si>
  <si>
    <t>이석훈</t>
    <phoneticPr fontId="3" type="noConversion"/>
  </si>
  <si>
    <t>ㅂㅈ</t>
    <phoneticPr fontId="3" type="noConversion"/>
  </si>
  <si>
    <t>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</si>
</sst>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0&quot; 년&quot;"/>
    <numFmt numFmtId="177" formatCode="0_);[Red]\(0\)"/>
    <numFmt numFmtId="178" formatCode="0&quot;명&quot;"/>
    <numFmt numFmtId="179" formatCode="#,###,,&quot;백만원&quot;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B0CD"/>
        <bgColor indexed="64"/>
      </patternFill>
    </fill>
  </fills>
  <borders count="6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9" fontId="0" fillId="0" borderId="0" xfId="2" applyFont="1">
      <alignment vertical="center"/>
    </xf>
    <xf numFmtId="177" fontId="0" fillId="0" borderId="0" xfId="0" applyNumberFormat="1" applyFont="1">
      <alignment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pivotButton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>
      <alignment vertical="center"/>
    </xf>
    <xf numFmtId="0" fontId="2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2">
    <dxf>
      <fill>
        <patternFill>
          <bgColor rgb="FFE2B0CD"/>
        </patternFill>
      </fill>
    </dxf>
    <dxf>
      <border>
        <bottom style="thin">
          <color rgb="FFFF0000"/>
        </bottom>
        <vertical/>
        <horizontal/>
      </border>
    </dxf>
  </dxfs>
  <tableStyles count="0" defaultTableStyle="TableStyleMedium2" defaultPivotStyle="PivotStyleLight16"/>
  <colors>
    <mruColors>
      <color rgb="FFE2B0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계약현황차트!$B$1</c:f>
              <c:strCache>
                <c:ptCount val="1"/>
                <c:pt idx="0">
                  <c:v>총가입수</c:v>
                </c:pt>
              </c:strCache>
            </c:strRef>
          </c:tx>
          <c:spPr>
            <a:ln w="19050" cap="sq">
              <a:solidFill>
                <a:schemeClr val="accent4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69850" cap="sq">
                <a:solidFill>
                  <a:schemeClr val="accent6">
                    <a:lumMod val="75000"/>
                  </a:schemeClr>
                </a:solidFill>
                <a:miter lim="800000"/>
              </a:ln>
              <a:effectLst/>
            </c:spPr>
          </c:marker>
          <c:cat>
            <c:strRef>
              <c:f>계약현황차트!$A$2:$A$7</c:f>
              <c:strCache>
                <c:ptCount val="6"/>
                <c:pt idx="0">
                  <c:v>여성건강보험</c:v>
                </c:pt>
                <c:pt idx="1">
                  <c:v>의료실비보험</c:v>
                </c:pt>
                <c:pt idx="2">
                  <c:v>변액연금보험</c:v>
                </c:pt>
                <c:pt idx="3">
                  <c:v>무배당암보험</c:v>
                </c:pt>
                <c:pt idx="4">
                  <c:v>종신보험</c:v>
                </c:pt>
                <c:pt idx="5">
                  <c:v>연금보험</c:v>
                </c:pt>
              </c:strCache>
            </c:strRef>
          </c:cat>
          <c:val>
            <c:numRef>
              <c:f>계약현황차트!$B$2:$B$7</c:f>
              <c:numCache>
                <c:formatCode>General</c:formatCode>
                <c:ptCount val="6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8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3A-4E78-95DD-14309953BDAA}"/>
            </c:ext>
          </c:extLst>
        </c:ser>
        <c:ser>
          <c:idx val="1"/>
          <c:order val="1"/>
          <c:tx>
            <c:strRef>
              <c:f>계약현황차트!$C$1</c:f>
              <c:strCache>
                <c:ptCount val="1"/>
                <c:pt idx="0">
                  <c:v>평균가입금액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계약현황차트!$A$2:$A$7</c:f>
              <c:strCache>
                <c:ptCount val="6"/>
                <c:pt idx="0">
                  <c:v>여성건강보험</c:v>
                </c:pt>
                <c:pt idx="1">
                  <c:v>의료실비보험</c:v>
                </c:pt>
                <c:pt idx="2">
                  <c:v>변액연금보험</c:v>
                </c:pt>
                <c:pt idx="3">
                  <c:v>무배당암보험</c:v>
                </c:pt>
                <c:pt idx="4">
                  <c:v>종신보험</c:v>
                </c:pt>
                <c:pt idx="5">
                  <c:v>연금보험</c:v>
                </c:pt>
              </c:strCache>
            </c:strRef>
          </c:cat>
          <c:val>
            <c:numRef>
              <c:f>계약현황차트!$C$2:$C$7</c:f>
              <c:numCache>
                <c:formatCode>_(* #,##0_);_(* \(#,##0\);_(* "-"_);_(@_)</c:formatCode>
                <c:ptCount val="6"/>
                <c:pt idx="0">
                  <c:v>10000000</c:v>
                </c:pt>
                <c:pt idx="1">
                  <c:v>30000000</c:v>
                </c:pt>
                <c:pt idx="2">
                  <c:v>42000000</c:v>
                </c:pt>
                <c:pt idx="3">
                  <c:v>50000000</c:v>
                </c:pt>
                <c:pt idx="4">
                  <c:v>76250000</c:v>
                </c:pt>
                <c:pt idx="5">
                  <c:v>80000000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3A-4E78-95DD-14309953BDAA}"/>
            </c:ext>
          </c:extLst>
        </c:ser>
        <c:ser>
          <c:idx val="2"/>
          <c:order val="2"/>
          <c:tx>
            <c:strRef>
              <c:f>계약현황차트!$E$1</c:f>
              <c:strCache>
                <c:ptCount val="1"/>
                <c:pt idx="0">
                  <c:v>최대값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Pt>
            <c:idx val="4"/>
            <c:marker>
              <c:symbol val="diamond"/>
              <c:size val="1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13A-4E78-95DD-14309953BDAA}"/>
              </c:ext>
            </c:extLst>
          </c:dPt>
          <c:val>
            <c:numRef>
              <c:f>계약현황차트!$E$2:$E$7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8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3A-4E78-95DD-14309953B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8295631"/>
        <c:axId val="846983567"/>
      </c:radarChart>
      <c:catAx>
        <c:axId val="8482956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6983567"/>
        <c:crosses val="autoZero"/>
        <c:auto val="1"/>
        <c:lblAlgn val="ctr"/>
        <c:lblOffset val="100"/>
        <c:noMultiLvlLbl val="0"/>
      </c:catAx>
      <c:valAx>
        <c:axId val="846983567"/>
        <c:scaling>
          <c:orientation val="minMax"/>
          <c:max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48295631"/>
        <c:crosses val="autoZero"/>
        <c:crossBetween val="between"/>
        <c:majorUnit val="3"/>
        <c:minorUnit val="0.4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0</xdr:row>
      <xdr:rowOff>171450</xdr:rowOff>
    </xdr:from>
    <xdr:to>
      <xdr:col>4</xdr:col>
      <xdr:colOff>523875</xdr:colOff>
      <xdr:row>2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66775" y="171450"/>
          <a:ext cx="2400300" cy="4191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 b="1" baseline="0">
              <a:ln>
                <a:solidFill>
                  <a:schemeClr val="tx1"/>
                </a:solidFill>
              </a:ln>
              <a:solidFill>
                <a:srgbClr val="7030A0"/>
              </a:solidFill>
            </a:rPr>
            <a:t>보험계약 관리 화면</a:t>
          </a:r>
        </a:p>
      </xdr:txBody>
    </xdr:sp>
    <xdr:clientData/>
  </xdr:twoCellAnchor>
  <xdr:twoCellAnchor>
    <xdr:from>
      <xdr:col>0</xdr:col>
      <xdr:colOff>628650</xdr:colOff>
      <xdr:row>3</xdr:row>
      <xdr:rowOff>142875</xdr:rowOff>
    </xdr:from>
    <xdr:to>
      <xdr:col>5</xdr:col>
      <xdr:colOff>57150</xdr:colOff>
      <xdr:row>18</xdr:row>
      <xdr:rowOff>152400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8650" y="771525"/>
          <a:ext cx="2857500" cy="31527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5</xdr:row>
          <xdr:rowOff>161925</xdr:rowOff>
        </xdr:from>
        <xdr:to>
          <xdr:col>4</xdr:col>
          <xdr:colOff>333375</xdr:colOff>
          <xdr:row>7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8</xdr:row>
          <xdr:rowOff>47625</xdr:rowOff>
        </xdr:from>
        <xdr:to>
          <xdr:col>4</xdr:col>
          <xdr:colOff>323850</xdr:colOff>
          <xdr:row>9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10</xdr:row>
          <xdr:rowOff>180975</xdr:rowOff>
        </xdr:from>
        <xdr:to>
          <xdr:col>4</xdr:col>
          <xdr:colOff>304800</xdr:colOff>
          <xdr:row>12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보험계약 관리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371475</xdr:colOff>
          <xdr:row>13</xdr:row>
          <xdr:rowOff>76200</xdr:rowOff>
        </xdr:from>
        <xdr:to>
          <xdr:col>4</xdr:col>
          <xdr:colOff>276225</xdr:colOff>
          <xdr:row>15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전체계약현황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15</xdr:row>
          <xdr:rowOff>114300</xdr:rowOff>
        </xdr:from>
        <xdr:to>
          <xdr:col>4</xdr:col>
          <xdr:colOff>257175</xdr:colOff>
          <xdr:row>17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   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14654</xdr:colOff>
      <xdr:row>0</xdr:row>
      <xdr:rowOff>7326</xdr:rowOff>
    </xdr:from>
    <xdr:to>
      <xdr:col>6</xdr:col>
      <xdr:colOff>95249</xdr:colOff>
      <xdr:row>25</xdr:row>
      <xdr:rowOff>123825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54" y="7326"/>
          <a:ext cx="4195395" cy="5355249"/>
        </a:xfrm>
        <a:prstGeom prst="rect">
          <a:avLst/>
        </a:prstGeom>
        <a:noFill/>
        <a:ln w="28575">
          <a:solidFill>
            <a:srgbClr val="00B050"/>
          </a:solidFill>
        </a:ln>
        <a:effectLst>
          <a:glow rad="101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9</xdr:row>
      <xdr:rowOff>19049</xdr:rowOff>
    </xdr:from>
    <xdr:to>
      <xdr:col>7</xdr:col>
      <xdr:colOff>209550</xdr:colOff>
      <xdr:row>26</xdr:row>
      <xdr:rowOff>66674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3948.096830902781" createdVersion="6" refreshedVersion="6" minRefreshableVersion="3" recordCount="26" xr:uid="{16D9BFE3-0A70-469E-9A70-49FA771181A5}">
  <cacheSource type="worksheet">
    <worksheetSource ref="A3:G29" sheet="보험계약현황"/>
  </cacheSource>
  <cacheFields count="8">
    <cacheField name="고객번호" numFmtId="0">
      <sharedItems count="11">
        <s v="S131978"/>
        <s v="S131980"/>
        <s v="S131981"/>
        <s v="S131986"/>
        <s v="S131989"/>
        <s v="S131997"/>
        <s v="S131999"/>
        <s v="S132001"/>
        <s v="S132006"/>
        <s v="S132008"/>
        <s v="S141988"/>
      </sharedItems>
    </cacheField>
    <cacheField name="보험상품" numFmtId="0">
      <sharedItems count="7">
        <s v="종신보험"/>
        <s v="변액연금보험"/>
        <s v="연금보험"/>
        <s v="외료실비보험"/>
        <s v="무배당암보험"/>
        <s v="의료실비보험"/>
        <s v="여성건강보험"/>
      </sharedItems>
    </cacheField>
    <cacheField name="가입금액" numFmtId="0">
      <sharedItems containsSemiMixedTypes="0" containsString="0" containsNumber="1" containsInteger="1" minValue="10000000" maxValue="250000000"/>
    </cacheField>
    <cacheField name="가입일" numFmtId="14">
      <sharedItems containsSemiMixedTypes="0" containsNonDate="0" containsDate="1" containsString="0" minDate="2009-10-12T00:00:00" maxDate="2014-07-19T00:00:00" count="11">
        <d v="2009-10-12T00:00:00"/>
        <d v="2012-01-30T00:00:00"/>
        <d v="2012-07-28T00:00:00"/>
        <d v="2012-09-26T00:00:00"/>
        <d v="2014-02-18T00:00:00"/>
        <d v="2010-10-07T00:00:00"/>
        <d v="2013-09-21T00:00:00"/>
        <d v="2011-08-03T00:00:00"/>
        <d v="2010-09-07T00:00:00"/>
        <d v="2014-07-18T00:00:00"/>
        <d v="2014-05-19T00:00:00"/>
      </sharedItems>
      <fieldGroup par="7" base="3">
        <rangePr groupBy="months" startDate="2009-10-12T00:00:00" endDate="2014-07-19T00:00:00"/>
        <groupItems count="14">
          <s v="&lt;2009-10-1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14-07-19"/>
        </groupItems>
      </fieldGroup>
    </cacheField>
    <cacheField name="월보험료" numFmtId="177">
      <sharedItems containsSemiMixedTypes="0" containsString="0" containsNumber="1" containsInteger="1" minValue="23800" maxValue="434500" count="21">
        <n v="134000"/>
        <n v="201400"/>
        <n v="98000"/>
        <n v="159000"/>
        <n v="25200"/>
        <n v="378000"/>
        <n v="434500"/>
        <n v="340000"/>
        <n v="49800"/>
        <n v="120000"/>
        <n v="244000"/>
        <n v="23800"/>
        <n v="34500"/>
        <n v="89000"/>
        <n v="34200"/>
        <n v="167000"/>
        <n v="170000"/>
        <n v="158000"/>
        <n v="38900"/>
        <n v="38340"/>
        <n v="124700"/>
      </sharedItems>
    </cacheField>
    <cacheField name="담당자" numFmtId="0">
      <sharedItems count="16">
        <s v="채경휘"/>
        <s v="김길수"/>
        <s v="최영철"/>
        <s v="정호돌"/>
        <s v="정태호"/>
        <s v="강장환"/>
        <s v="이창명"/>
        <s v="이상건"/>
        <s v="최현우"/>
        <s v="김하늘"/>
        <s v="노찬종"/>
        <s v="정호김"/>
        <s v="주청철"/>
        <s v="신동숙"/>
        <s v="김호식"/>
        <s v="주청절"/>
      </sharedItems>
    </cacheField>
    <cacheField name="납입보험료" numFmtId="0">
      <sharedItems containsSemiMixedTypes="0" containsString="0" containsNumber="1" containsInteger="1" minValue="1864800" maxValue="43015500"/>
    </cacheField>
    <cacheField name="연" numFmtId="0" databaseField="0">
      <fieldGroup base="3">
        <rangePr groupBy="years" startDate="2009-10-12T00:00:00" endDate="2014-07-19T00:00:00"/>
        <groupItems count="8">
          <s v="&lt;2009-10-12"/>
          <s v="2009년"/>
          <s v="2010년"/>
          <s v="2011년"/>
          <s v="2012년"/>
          <s v="2013년"/>
          <s v="2014년"/>
          <s v="&gt;2014-07-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x v="0"/>
    <x v="0"/>
    <n v="50000000"/>
    <x v="0"/>
    <x v="0"/>
    <x v="0"/>
    <n v="16884000"/>
  </r>
  <r>
    <x v="0"/>
    <x v="0"/>
    <n v="50000000"/>
    <x v="0"/>
    <x v="0"/>
    <x v="0"/>
    <n v="16884000"/>
  </r>
  <r>
    <x v="1"/>
    <x v="0"/>
    <n v="70000000"/>
    <x v="1"/>
    <x v="1"/>
    <x v="1"/>
    <n v="19938600"/>
  </r>
  <r>
    <x v="1"/>
    <x v="1"/>
    <n v="70000000"/>
    <x v="2"/>
    <x v="2"/>
    <x v="2"/>
    <n v="9114000"/>
  </r>
  <r>
    <x v="2"/>
    <x v="0"/>
    <n v="50000000"/>
    <x v="1"/>
    <x v="0"/>
    <x v="3"/>
    <n v="13266000"/>
  </r>
  <r>
    <x v="2"/>
    <x v="2"/>
    <n v="80000000"/>
    <x v="3"/>
    <x v="3"/>
    <x v="4"/>
    <n v="14469000"/>
  </r>
  <r>
    <x v="3"/>
    <x v="3"/>
    <n v="30000000"/>
    <x v="4"/>
    <x v="4"/>
    <x v="4"/>
    <n v="1864800"/>
  </r>
  <r>
    <x v="3"/>
    <x v="1"/>
    <n v="30000000"/>
    <x v="1"/>
    <x v="2"/>
    <x v="5"/>
    <n v="9702000"/>
  </r>
  <r>
    <x v="4"/>
    <x v="2"/>
    <n v="100000000"/>
    <x v="1"/>
    <x v="5"/>
    <x v="6"/>
    <n v="37422000"/>
  </r>
  <r>
    <x v="4"/>
    <x v="4"/>
    <n v="20000000"/>
    <x v="1"/>
    <x v="6"/>
    <x v="2"/>
    <n v="43015500"/>
  </r>
  <r>
    <x v="4"/>
    <x v="1"/>
    <n v="30000000"/>
    <x v="1"/>
    <x v="2"/>
    <x v="1"/>
    <n v="9702000"/>
  </r>
  <r>
    <x v="4"/>
    <x v="0"/>
    <n v="250000000"/>
    <x v="2"/>
    <x v="7"/>
    <x v="2"/>
    <n v="31620000"/>
  </r>
  <r>
    <x v="4"/>
    <x v="5"/>
    <n v="30000000"/>
    <x v="4"/>
    <x v="4"/>
    <x v="7"/>
    <n v="1864800"/>
  </r>
  <r>
    <x v="4"/>
    <x v="4"/>
    <n v="30000000"/>
    <x v="3"/>
    <x v="8"/>
    <x v="0"/>
    <n v="4531800"/>
  </r>
  <r>
    <x v="5"/>
    <x v="0"/>
    <n v="50000000"/>
    <x v="3"/>
    <x v="9"/>
    <x v="8"/>
    <n v="10920000"/>
  </r>
  <r>
    <x v="5"/>
    <x v="4"/>
    <n v="150000000"/>
    <x v="0"/>
    <x v="10"/>
    <x v="9"/>
    <n v="30744000"/>
  </r>
  <r>
    <x v="6"/>
    <x v="4"/>
    <n v="20000000"/>
    <x v="5"/>
    <x v="11"/>
    <x v="10"/>
    <n v="2713200"/>
  </r>
  <r>
    <x v="6"/>
    <x v="0"/>
    <n v="20000000"/>
    <x v="6"/>
    <x v="12"/>
    <x v="11"/>
    <n v="2725500"/>
  </r>
  <r>
    <x v="7"/>
    <x v="1"/>
    <n v="30000000"/>
    <x v="3"/>
    <x v="13"/>
    <x v="12"/>
    <n v="8099000"/>
  </r>
  <r>
    <x v="7"/>
    <x v="6"/>
    <n v="10000000"/>
    <x v="4"/>
    <x v="14"/>
    <x v="2"/>
    <n v="2530800"/>
  </r>
  <r>
    <x v="8"/>
    <x v="2"/>
    <n v="70000000"/>
    <x v="7"/>
    <x v="15"/>
    <x v="13"/>
    <n v="17368000"/>
  </r>
  <r>
    <x v="8"/>
    <x v="1"/>
    <n v="50000000"/>
    <x v="3"/>
    <x v="16"/>
    <x v="14"/>
    <n v="15470000"/>
  </r>
  <r>
    <x v="9"/>
    <x v="2"/>
    <n v="70000000"/>
    <x v="8"/>
    <x v="17"/>
    <x v="5"/>
    <n v="18170000"/>
  </r>
  <r>
    <x v="9"/>
    <x v="4"/>
    <n v="30000000"/>
    <x v="9"/>
    <x v="18"/>
    <x v="15"/>
    <n v="2684100"/>
  </r>
  <r>
    <x v="10"/>
    <x v="5"/>
    <n v="30000000"/>
    <x v="3"/>
    <x v="19"/>
    <x v="7"/>
    <n v="3488940"/>
  </r>
  <r>
    <x v="10"/>
    <x v="0"/>
    <n v="70000000"/>
    <x v="10"/>
    <x v="20"/>
    <x v="9"/>
    <n v="8853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599897-2DC6-4B41-8AFC-324E5343FBF0}" name="피벗 테이블1" cacheId="0" applyNumberFormats="0" applyBorderFormats="0" applyFontFormats="0" applyPatternFormats="0" applyAlignmentFormats="0" applyWidthHeightFormats="1" dataCaption="값" updatedVersion="6" minRefreshableVersion="3" useAutoFormatting="1" rowGrandTotals="0" colGrandTotals="0" itemPrintTitles="1" createdVersion="6" indent="0" compact="0" outline="1" outlineData="1" compactData="0" multipleFieldFilters="0">
  <location ref="I7:L24" firstHeaderRow="0" firstDataRow="1" firstDataCol="2"/>
  <pivotFields count="8">
    <pivotField dataField="1" compact="0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showAll="0">
      <items count="8">
        <item x="4"/>
        <item x="1"/>
        <item x="6"/>
        <item x="2"/>
        <item x="3"/>
        <item x="5"/>
        <item x="0"/>
        <item t="default"/>
      </items>
    </pivotField>
    <pivotField dataField="1" compact="0" showAll="0"/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numFmtId="177" showAll="0">
      <items count="22">
        <item x="11"/>
        <item x="4"/>
        <item x="14"/>
        <item x="12"/>
        <item x="19"/>
        <item x="18"/>
        <item x="8"/>
        <item x="13"/>
        <item x="2"/>
        <item x="9"/>
        <item x="20"/>
        <item x="0"/>
        <item x="17"/>
        <item x="3"/>
        <item x="15"/>
        <item x="16"/>
        <item x="1"/>
        <item x="10"/>
        <item x="7"/>
        <item x="5"/>
        <item x="6"/>
        <item t="default"/>
      </items>
    </pivotField>
    <pivotField compact="0" showAll="0">
      <items count="17">
        <item x="5"/>
        <item x="1"/>
        <item x="9"/>
        <item x="14"/>
        <item x="10"/>
        <item x="13"/>
        <item x="7"/>
        <item x="6"/>
        <item x="4"/>
        <item x="11"/>
        <item x="3"/>
        <item x="15"/>
        <item x="12"/>
        <item x="0"/>
        <item x="2"/>
        <item x="8"/>
        <item t="default"/>
      </items>
    </pivotField>
    <pivotField compact="0" showAll="0"/>
    <pivotField axis="axisRow" compact="0" showAll="0">
      <items count="9">
        <item x="0"/>
        <item x="1"/>
        <item x="2"/>
        <item x="3"/>
        <item x="4"/>
        <item x="5"/>
        <item x="6"/>
        <item x="7"/>
        <item t="default"/>
      </items>
    </pivotField>
  </pivotFields>
  <rowFields count="2">
    <field x="7"/>
    <field x="3"/>
  </rowFields>
  <rowItems count="17">
    <i>
      <x v="1"/>
    </i>
    <i r="1">
      <x v="10"/>
    </i>
    <i>
      <x v="2"/>
    </i>
    <i r="1">
      <x v="9"/>
    </i>
    <i r="1">
      <x v="10"/>
    </i>
    <i>
      <x v="3"/>
    </i>
    <i r="1">
      <x v="8"/>
    </i>
    <i>
      <x v="4"/>
    </i>
    <i r="1">
      <x v="1"/>
    </i>
    <i r="1">
      <x v="7"/>
    </i>
    <i r="1">
      <x v="9"/>
    </i>
    <i>
      <x v="5"/>
    </i>
    <i r="1">
      <x v="9"/>
    </i>
    <i>
      <x v="6"/>
    </i>
    <i r="1">
      <x v="2"/>
    </i>
    <i r="1">
      <x v="5"/>
    </i>
    <i r="1">
      <x v="7"/>
    </i>
  </rowItems>
  <colFields count="1">
    <field x="-2"/>
  </colFields>
  <colItems count="2">
    <i>
      <x/>
    </i>
    <i i="1">
      <x v="1"/>
    </i>
  </colItems>
  <dataFields count="2">
    <dataField name="개수 : 고객번호" fld="0" subtotal="count" baseField="7" baseItem="1" numFmtId="178"/>
    <dataField name="평균 : 가입금액" fld="2" subtotal="average" baseField="7" baseItem="1" numFmtId="17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showGridLines="0" workbookViewId="0">
      <selection activeCell="G20" sqref="G20"/>
    </sheetView>
  </sheetViews>
  <sheetFormatPr defaultRowHeight="16.5" x14ac:dyDescent="0.3"/>
  <sheetData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단추3_Click">
                <anchor moveWithCells="1" sizeWithCells="1">
                  <from>
                    <xdr:col>1</xdr:col>
                    <xdr:colOff>428625</xdr:colOff>
                    <xdr:row>5</xdr:row>
                    <xdr:rowOff>161925</xdr:rowOff>
                  </from>
                  <to>
                    <xdr:col>4</xdr:col>
                    <xdr:colOff>333375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단추3_Click">
                <anchor moveWithCells="1" sizeWithCells="1">
                  <from>
                    <xdr:col>1</xdr:col>
                    <xdr:colOff>419100</xdr:colOff>
                    <xdr:row>8</xdr:row>
                    <xdr:rowOff>47625</xdr:rowOff>
                  </from>
                  <to>
                    <xdr:col>4</xdr:col>
                    <xdr:colOff>323850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단추3_Click">
                <anchor moveWithCells="1" sizeWithCells="1">
                  <from>
                    <xdr:col>1</xdr:col>
                    <xdr:colOff>400050</xdr:colOff>
                    <xdr:row>10</xdr:row>
                    <xdr:rowOff>180975</xdr:rowOff>
                  </from>
                  <to>
                    <xdr:col>4</xdr:col>
                    <xdr:colOff>304800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단추3_Click">
                <anchor moveWithCells="1" sizeWithCells="1">
                  <from>
                    <xdr:col>1</xdr:col>
                    <xdr:colOff>371475</xdr:colOff>
                    <xdr:row>13</xdr:row>
                    <xdr:rowOff>76200</xdr:rowOff>
                  </from>
                  <to>
                    <xdr:col>4</xdr:col>
                    <xdr:colOff>276225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단추3_Click">
                <anchor moveWithCells="1" sizeWithCells="1">
                  <from>
                    <xdr:col>1</xdr:col>
                    <xdr:colOff>352425</xdr:colOff>
                    <xdr:row>15</xdr:row>
                    <xdr:rowOff>114300</xdr:rowOff>
                  </from>
                  <to>
                    <xdr:col>4</xdr:col>
                    <xdr:colOff>257175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1"/>
  <sheetViews>
    <sheetView tabSelected="1" workbookViewId="0">
      <selection activeCell="U23" sqref="U23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188</v>
      </c>
      <c r="B4" t="s">
        <v>22</v>
      </c>
      <c r="C4" t="s">
        <v>182</v>
      </c>
      <c r="D4" t="s">
        <v>45</v>
      </c>
      <c r="E4" s="3">
        <v>40238</v>
      </c>
      <c r="F4" s="10">
        <f ca="1">VLOOKUP(G4,$H$5:$N$10,MATCH(C4,$H$4:$N$4,0),TRUE)</f>
        <v>0.12</v>
      </c>
      <c r="G4" s="9">
        <f t="shared" ref="G4" ca="1" si="0">YEAR(NOW())-YEAR(E4)</f>
        <v>10</v>
      </c>
      <c r="H4" s="4"/>
      <c r="I4" s="5" t="s">
        <v>40</v>
      </c>
      <c r="J4" s="5" t="s">
        <v>39</v>
      </c>
      <c r="K4" s="5" t="s">
        <v>42</v>
      </c>
      <c r="L4" s="5" t="s">
        <v>44</v>
      </c>
      <c r="M4" s="5" t="s">
        <v>41</v>
      </c>
      <c r="N4" s="5" t="s">
        <v>43</v>
      </c>
    </row>
    <row r="5" spans="1:14" x14ac:dyDescent="0.3">
      <c r="A5" t="s">
        <v>185</v>
      </c>
      <c r="B5" t="s">
        <v>23</v>
      </c>
      <c r="C5" t="s">
        <v>39</v>
      </c>
      <c r="D5" t="s">
        <v>46</v>
      </c>
      <c r="E5" s="3">
        <v>40238</v>
      </c>
      <c r="F5" s="10">
        <f t="shared" ref="F5:F21" ca="1" si="1">VLOOKUP(G5,$H$5:$N$10,MATCH(C5,$H$4:$N$4,0),TRUE)</f>
        <v>0.12</v>
      </c>
      <c r="G5" s="9">
        <f t="shared" ref="G5:G18" ca="1" si="2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0.4</v>
      </c>
    </row>
    <row r="6" spans="1:14" x14ac:dyDescent="0.3">
      <c r="A6" t="s">
        <v>187</v>
      </c>
      <c r="B6" t="s">
        <v>24</v>
      </c>
      <c r="C6" t="s">
        <v>182</v>
      </c>
      <c r="D6" t="s">
        <v>47</v>
      </c>
      <c r="E6" s="3">
        <v>41974</v>
      </c>
      <c r="F6" s="10">
        <f t="shared" ca="1" si="1"/>
        <v>0.1</v>
      </c>
      <c r="G6" s="9">
        <f t="shared" ca="1" si="2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0.5</v>
      </c>
    </row>
    <row r="7" spans="1:14" x14ac:dyDescent="0.3">
      <c r="A7" t="s">
        <v>8</v>
      </c>
      <c r="B7" t="s">
        <v>25</v>
      </c>
      <c r="C7" t="s">
        <v>39</v>
      </c>
      <c r="D7" t="s">
        <v>48</v>
      </c>
      <c r="E7" s="3">
        <v>40787</v>
      </c>
      <c r="F7" s="10">
        <f t="shared" ca="1" si="1"/>
        <v>0.1</v>
      </c>
      <c r="G7" s="9">
        <f t="shared" ca="1" si="2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0.6</v>
      </c>
    </row>
    <row r="8" spans="1:14" x14ac:dyDescent="0.3">
      <c r="A8" t="s">
        <v>9</v>
      </c>
      <c r="B8" t="s">
        <v>26</v>
      </c>
      <c r="C8" t="s">
        <v>39</v>
      </c>
      <c r="D8" t="s">
        <v>183</v>
      </c>
      <c r="E8" s="3">
        <v>40969</v>
      </c>
      <c r="F8" s="10">
        <f t="shared" ca="1" si="1"/>
        <v>0.1</v>
      </c>
      <c r="G8" s="9">
        <f t="shared" ca="1" si="2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0.7</v>
      </c>
    </row>
    <row r="9" spans="1:14" x14ac:dyDescent="0.3">
      <c r="A9" t="s">
        <v>10</v>
      </c>
      <c r="B9" t="s">
        <v>27</v>
      </c>
      <c r="C9" t="s">
        <v>41</v>
      </c>
      <c r="D9" t="s">
        <v>49</v>
      </c>
      <c r="E9" s="3">
        <v>31182</v>
      </c>
      <c r="F9" s="10">
        <f t="shared" ca="1" si="1"/>
        <v>0.25</v>
      </c>
      <c r="G9" s="9">
        <f t="shared" ca="1" si="2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0.8</v>
      </c>
    </row>
    <row r="10" spans="1:14" x14ac:dyDescent="0.3">
      <c r="A10" t="s">
        <v>11</v>
      </c>
      <c r="B10" t="s">
        <v>28</v>
      </c>
      <c r="C10" t="s">
        <v>42</v>
      </c>
      <c r="D10" t="s">
        <v>50</v>
      </c>
      <c r="E10" s="3">
        <v>35674</v>
      </c>
      <c r="F10" s="10">
        <f t="shared" ca="1" si="1"/>
        <v>0.18</v>
      </c>
      <c r="G10" s="9">
        <f t="shared" ca="1" si="2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0.9</v>
      </c>
    </row>
    <row r="11" spans="1:14" x14ac:dyDescent="0.3">
      <c r="A11" t="s">
        <v>14</v>
      </c>
      <c r="B11" t="s">
        <v>29</v>
      </c>
      <c r="C11" t="s">
        <v>43</v>
      </c>
      <c r="D11" t="s">
        <v>50</v>
      </c>
      <c r="E11" s="3">
        <v>6400</v>
      </c>
      <c r="F11" s="10">
        <f t="shared" ca="1" si="1"/>
        <v>0.9</v>
      </c>
      <c r="G11" s="9">
        <f t="shared" ca="1" si="2"/>
        <v>103</v>
      </c>
    </row>
    <row r="12" spans="1:14" x14ac:dyDescent="0.3">
      <c r="A12" t="s">
        <v>12</v>
      </c>
      <c r="B12" t="s">
        <v>30</v>
      </c>
      <c r="C12" t="s">
        <v>202</v>
      </c>
      <c r="D12" t="s">
        <v>51</v>
      </c>
      <c r="E12" s="3">
        <v>36404</v>
      </c>
      <c r="F12" s="10">
        <f t="shared" ca="1" si="1"/>
        <v>0.9</v>
      </c>
      <c r="G12" s="9">
        <f t="shared" ca="1" si="2"/>
        <v>21</v>
      </c>
      <c r="H12" s="23"/>
      <c r="I12" s="23"/>
      <c r="J12" s="23"/>
      <c r="K12" s="23"/>
      <c r="L12" s="23"/>
      <c r="M12" s="23"/>
      <c r="N12" s="23"/>
    </row>
    <row r="13" spans="1:14" x14ac:dyDescent="0.3">
      <c r="A13" t="s">
        <v>13</v>
      </c>
      <c r="B13" t="s">
        <v>31</v>
      </c>
      <c r="C13" t="s">
        <v>44</v>
      </c>
      <c r="D13" t="s">
        <v>52</v>
      </c>
      <c r="E13" s="3">
        <v>36220</v>
      </c>
      <c r="F13" s="10">
        <f t="shared" ca="1" si="1"/>
        <v>0.2</v>
      </c>
      <c r="G13" s="9">
        <f t="shared" ca="1" si="2"/>
        <v>21</v>
      </c>
    </row>
    <row r="14" spans="1:14" x14ac:dyDescent="0.3">
      <c r="A14" t="s">
        <v>15</v>
      </c>
      <c r="B14" t="s">
        <v>32</v>
      </c>
      <c r="C14" t="s">
        <v>44</v>
      </c>
      <c r="D14" t="s">
        <v>184</v>
      </c>
      <c r="E14" s="3">
        <v>35490</v>
      </c>
      <c r="F14" s="10">
        <f t="shared" ca="1" si="1"/>
        <v>0.2</v>
      </c>
      <c r="G14" s="9">
        <f t="shared" ca="1" si="2"/>
        <v>23</v>
      </c>
      <c r="H14" s="23"/>
      <c r="I14" s="23"/>
      <c r="J14" s="23"/>
      <c r="K14" s="23"/>
      <c r="L14" s="23"/>
      <c r="M14" s="23"/>
      <c r="N14" s="23"/>
    </row>
    <row r="15" spans="1:14" x14ac:dyDescent="0.3">
      <c r="A15" t="s">
        <v>16</v>
      </c>
      <c r="B15" t="s">
        <v>33</v>
      </c>
      <c r="C15" t="s">
        <v>41</v>
      </c>
      <c r="D15" t="s">
        <v>53</v>
      </c>
      <c r="E15" s="3">
        <v>36586</v>
      </c>
      <c r="F15" s="10">
        <f t="shared" ca="1" si="1"/>
        <v>0.25</v>
      </c>
      <c r="G15" s="9">
        <f t="shared" ca="1" si="2"/>
        <v>20</v>
      </c>
    </row>
    <row r="16" spans="1:14" x14ac:dyDescent="0.3">
      <c r="A16" t="s">
        <v>17</v>
      </c>
      <c r="B16" t="s">
        <v>34</v>
      </c>
      <c r="C16" t="s">
        <v>44</v>
      </c>
      <c r="D16" t="s">
        <v>54</v>
      </c>
      <c r="E16" s="3">
        <v>34029</v>
      </c>
      <c r="F16" s="10">
        <f t="shared" ca="1" si="1"/>
        <v>0.2</v>
      </c>
      <c r="G16" s="9">
        <f t="shared" ca="1" si="2"/>
        <v>27</v>
      </c>
    </row>
    <row r="17" spans="1:7" x14ac:dyDescent="0.3">
      <c r="A17" t="s">
        <v>18</v>
      </c>
      <c r="B17" t="s">
        <v>35</v>
      </c>
      <c r="C17" t="s">
        <v>42</v>
      </c>
      <c r="D17" t="s">
        <v>55</v>
      </c>
      <c r="E17" s="3">
        <v>35309</v>
      </c>
      <c r="F17" s="10">
        <f t="shared" ca="1" si="1"/>
        <v>0.18</v>
      </c>
      <c r="G17" s="9">
        <f t="shared" ca="1" si="2"/>
        <v>24</v>
      </c>
    </row>
    <row r="18" spans="1:7" x14ac:dyDescent="0.3">
      <c r="A18" t="s">
        <v>19</v>
      </c>
      <c r="B18" t="s">
        <v>36</v>
      </c>
      <c r="C18" t="s">
        <v>42</v>
      </c>
      <c r="D18" t="s">
        <v>56</v>
      </c>
      <c r="E18" s="3">
        <v>36404</v>
      </c>
      <c r="F18" s="10">
        <f t="shared" ca="1" si="1"/>
        <v>0.18</v>
      </c>
      <c r="G18" s="9">
        <f t="shared" ca="1" si="2"/>
        <v>21</v>
      </c>
    </row>
    <row r="19" spans="1:7" x14ac:dyDescent="0.3">
      <c r="A19" t="s">
        <v>20</v>
      </c>
      <c r="B19" t="s">
        <v>37</v>
      </c>
      <c r="C19" t="s">
        <v>42</v>
      </c>
      <c r="D19" t="s">
        <v>57</v>
      </c>
      <c r="E19" s="3">
        <v>36586</v>
      </c>
      <c r="F19" s="10">
        <f t="shared" ca="1" si="1"/>
        <v>0.15</v>
      </c>
      <c r="G19" s="11">
        <f ca="1">YEAR(NOW())-YEAR(E4)</f>
        <v>10</v>
      </c>
    </row>
    <row r="20" spans="1:7" x14ac:dyDescent="0.3">
      <c r="A20" t="s">
        <v>21</v>
      </c>
      <c r="B20" t="s">
        <v>38</v>
      </c>
      <c r="C20" t="s">
        <v>42</v>
      </c>
      <c r="D20" t="s">
        <v>58</v>
      </c>
      <c r="E20" s="3">
        <v>36951</v>
      </c>
      <c r="F20" s="10">
        <f t="shared" ca="1" si="1"/>
        <v>0.16</v>
      </c>
      <c r="G20" s="9">
        <f ca="1">YEAR(NOW())-YEAR(E20)</f>
        <v>19</v>
      </c>
    </row>
    <row r="21" spans="1:7" x14ac:dyDescent="0.3">
      <c r="A21" t="s">
        <v>203</v>
      </c>
      <c r="B21" t="s">
        <v>204</v>
      </c>
      <c r="C21" t="s">
        <v>40</v>
      </c>
      <c r="D21" t="s">
        <v>205</v>
      </c>
      <c r="E21" s="3">
        <v>42370</v>
      </c>
      <c r="F21" s="10">
        <f t="shared" ca="1" si="1"/>
        <v>0.06</v>
      </c>
      <c r="G21" s="9">
        <f ca="1">YEAR(NOW())-YEAR(E21)</f>
        <v>4</v>
      </c>
    </row>
  </sheetData>
  <phoneticPr fontId="3" type="noConversion"/>
  <dataValidations count="2">
    <dataValidation type="list" allowBlank="1" showInputMessage="1" showErrorMessage="1" sqref="C4:C20" xr:uid="{128CB9CF-C66D-409F-935C-937264A3C8D1}">
      <formula1>"사원,대리,과장,차장,부장,이사"</formula1>
    </dataValidation>
    <dataValidation type="custom" allowBlank="1" showInputMessage="1" showErrorMessage="1" errorTitle="주민번호 오류" error="주민번호 자릿수를 확인하세요" sqref="D4:D20" xr:uid="{417FBC15-6D40-4F64-9637-4B7A6321CAAA}">
      <formula1>AND(LEN(D4)=14,VALUE(MID(D4,3,2))&lt;=12, VALUE(MID(D4,5,2))&lt;=31)</formula1>
    </dataValidation>
  </dataValidations>
  <pageMargins left="0.7" right="0.7" top="0.75" bottom="0.75" header="0.3" footer="0.3"/>
  <pageSetup paperSize="9" orientation="portrait" r:id="rId1"/>
  <ignoredErrors>
    <ignoredError sqref="G1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3:F33"/>
  <sheetViews>
    <sheetView showGridLines="0" workbookViewId="0">
      <selection activeCell="A24" sqref="A24"/>
    </sheetView>
  </sheetViews>
  <sheetFormatPr defaultRowHeight="16.5" x14ac:dyDescent="0.3"/>
  <cols>
    <col min="3" max="3" width="16.5" customWidth="1"/>
    <col min="4" max="4" width="14.375" bestFit="1" customWidth="1"/>
    <col min="5" max="5" width="15.875" bestFit="1" customWidth="1"/>
    <col min="6" max="6" width="15.125" bestFit="1" customWidth="1"/>
  </cols>
  <sheetData>
    <row r="3" spans="1:6" x14ac:dyDescent="0.3">
      <c r="A3" s="20" t="s">
        <v>109</v>
      </c>
      <c r="B3" s="20" t="s">
        <v>110</v>
      </c>
      <c r="C3" s="20" t="s">
        <v>111</v>
      </c>
      <c r="D3" s="20" t="s">
        <v>112</v>
      </c>
      <c r="E3" s="20" t="s">
        <v>113</v>
      </c>
      <c r="F3" s="20" t="s">
        <v>114</v>
      </c>
    </row>
    <row r="4" spans="1:6" x14ac:dyDescent="0.3">
      <c r="A4" s="20" t="s">
        <v>102</v>
      </c>
      <c r="B4" s="20" t="s">
        <v>115</v>
      </c>
      <c r="C4" s="21">
        <v>28418</v>
      </c>
      <c r="D4" s="20" t="s">
        <v>135</v>
      </c>
      <c r="E4" s="20" t="s">
        <v>155</v>
      </c>
      <c r="F4" s="20" t="s">
        <v>165</v>
      </c>
    </row>
    <row r="5" spans="1:6" x14ac:dyDescent="0.3">
      <c r="A5" s="20" t="s">
        <v>73</v>
      </c>
      <c r="B5" s="20" t="s">
        <v>116</v>
      </c>
      <c r="C5" s="21">
        <v>26174</v>
      </c>
      <c r="D5" s="20" t="s">
        <v>136</v>
      </c>
      <c r="E5" s="20" t="s">
        <v>156</v>
      </c>
      <c r="F5" s="20" t="s">
        <v>166</v>
      </c>
    </row>
    <row r="6" spans="1:6" x14ac:dyDescent="0.3">
      <c r="A6" s="20" t="s">
        <v>72</v>
      </c>
      <c r="B6" s="20" t="s">
        <v>117</v>
      </c>
      <c r="C6" s="21">
        <v>26202</v>
      </c>
      <c r="D6" s="20" t="s">
        <v>137</v>
      </c>
      <c r="E6" s="20" t="s">
        <v>157</v>
      </c>
      <c r="F6" s="20" t="s">
        <v>167</v>
      </c>
    </row>
    <row r="7" spans="1:6" x14ac:dyDescent="0.3">
      <c r="A7" s="20" t="s">
        <v>68</v>
      </c>
      <c r="B7" s="20" t="s">
        <v>118</v>
      </c>
      <c r="C7" s="21">
        <v>26943</v>
      </c>
      <c r="D7" s="20" t="s">
        <v>138</v>
      </c>
      <c r="E7" s="20" t="s">
        <v>158</v>
      </c>
      <c r="F7" s="20" t="s">
        <v>168</v>
      </c>
    </row>
    <row r="8" spans="1:6" x14ac:dyDescent="0.3">
      <c r="A8" s="20" t="s">
        <v>64</v>
      </c>
      <c r="B8" s="20" t="s">
        <v>119</v>
      </c>
      <c r="C8" s="21">
        <v>25632</v>
      </c>
      <c r="D8" s="20" t="s">
        <v>139</v>
      </c>
      <c r="E8" s="20" t="s">
        <v>159</v>
      </c>
      <c r="F8" s="20" t="s">
        <v>169</v>
      </c>
    </row>
    <row r="9" spans="1:6" x14ac:dyDescent="0.3">
      <c r="A9" s="20" t="s">
        <v>65</v>
      </c>
      <c r="B9" s="20" t="s">
        <v>120</v>
      </c>
      <c r="C9" s="21">
        <v>23931</v>
      </c>
      <c r="D9" s="20" t="s">
        <v>140</v>
      </c>
      <c r="E9" s="20" t="s">
        <v>160</v>
      </c>
      <c r="F9" s="20" t="s">
        <v>170</v>
      </c>
    </row>
    <row r="10" spans="1:6" x14ac:dyDescent="0.3">
      <c r="A10" s="20" t="s">
        <v>66</v>
      </c>
      <c r="B10" s="20" t="s">
        <v>121</v>
      </c>
      <c r="C10" s="21">
        <v>21628</v>
      </c>
      <c r="D10" s="20" t="s">
        <v>141</v>
      </c>
      <c r="E10" s="20" t="s">
        <v>158</v>
      </c>
      <c r="F10" s="20" t="s">
        <v>171</v>
      </c>
    </row>
    <row r="11" spans="1:6" x14ac:dyDescent="0.3">
      <c r="A11" s="20" t="s">
        <v>69</v>
      </c>
      <c r="B11" s="20" t="s">
        <v>122</v>
      </c>
      <c r="C11" s="21">
        <v>27738</v>
      </c>
      <c r="D11" s="20" t="s">
        <v>142</v>
      </c>
      <c r="E11" s="20" t="s">
        <v>157</v>
      </c>
      <c r="F11" s="20" t="s">
        <v>172</v>
      </c>
    </row>
    <row r="12" spans="1:6" x14ac:dyDescent="0.3">
      <c r="A12" s="20" t="s">
        <v>70</v>
      </c>
      <c r="B12" s="20" t="s">
        <v>123</v>
      </c>
      <c r="C12" s="21">
        <v>27417</v>
      </c>
      <c r="D12" s="20" t="s">
        <v>143</v>
      </c>
      <c r="E12" s="20" t="s">
        <v>158</v>
      </c>
      <c r="F12" s="20" t="s">
        <v>173</v>
      </c>
    </row>
    <row r="13" spans="1:6" x14ac:dyDescent="0.3">
      <c r="A13" s="20" t="s">
        <v>71</v>
      </c>
      <c r="B13" s="20" t="s">
        <v>124</v>
      </c>
      <c r="C13" s="21">
        <v>27349</v>
      </c>
      <c r="D13" s="20" t="s">
        <v>144</v>
      </c>
      <c r="E13" s="20" t="s">
        <v>159</v>
      </c>
      <c r="F13" s="20" t="s">
        <v>174</v>
      </c>
    </row>
    <row r="14" spans="1:6" x14ac:dyDescent="0.3">
      <c r="A14" s="20" t="s">
        <v>103</v>
      </c>
      <c r="B14" s="20" t="s">
        <v>134</v>
      </c>
      <c r="C14" s="21">
        <v>28850</v>
      </c>
      <c r="D14" s="20" t="s">
        <v>145</v>
      </c>
      <c r="E14" s="20" t="s">
        <v>160</v>
      </c>
      <c r="F14" s="20" t="s">
        <v>175</v>
      </c>
    </row>
    <row r="15" spans="1:6" x14ac:dyDescent="0.3">
      <c r="A15" s="20" t="s">
        <v>68</v>
      </c>
      <c r="B15" s="20" t="s">
        <v>125</v>
      </c>
      <c r="C15" s="21">
        <v>27582</v>
      </c>
      <c r="D15" s="20" t="s">
        <v>146</v>
      </c>
      <c r="E15" s="20" t="s">
        <v>158</v>
      </c>
      <c r="F15" s="20" t="s">
        <v>176</v>
      </c>
    </row>
    <row r="16" spans="1:6" x14ac:dyDescent="0.3">
      <c r="A16" s="20" t="s">
        <v>104</v>
      </c>
      <c r="B16" s="20" t="s">
        <v>126</v>
      </c>
      <c r="C16" s="21">
        <v>28430</v>
      </c>
      <c r="D16" s="20" t="s">
        <v>147</v>
      </c>
      <c r="E16" s="20" t="s">
        <v>161</v>
      </c>
      <c r="F16" s="20" t="s">
        <v>177</v>
      </c>
    </row>
    <row r="17" spans="1:6" x14ac:dyDescent="0.3">
      <c r="A17" s="20" t="s">
        <v>74</v>
      </c>
      <c r="B17" s="20" t="s">
        <v>127</v>
      </c>
      <c r="C17" s="21">
        <v>28979</v>
      </c>
      <c r="D17" s="20" t="s">
        <v>148</v>
      </c>
      <c r="E17" s="20" t="s">
        <v>158</v>
      </c>
      <c r="F17" s="20" t="s">
        <v>178</v>
      </c>
    </row>
    <row r="18" spans="1:6" x14ac:dyDescent="0.3">
      <c r="A18" s="20" t="s">
        <v>67</v>
      </c>
      <c r="B18" s="20" t="s">
        <v>128</v>
      </c>
      <c r="C18" s="21">
        <v>26517</v>
      </c>
      <c r="D18" s="20" t="s">
        <v>149</v>
      </c>
      <c r="E18" s="20" t="s">
        <v>159</v>
      </c>
      <c r="F18" s="20" t="s">
        <v>173</v>
      </c>
    </row>
    <row r="19" spans="1:6" x14ac:dyDescent="0.3">
      <c r="A19" s="20" t="s">
        <v>105</v>
      </c>
      <c r="B19" s="20" t="s">
        <v>132</v>
      </c>
      <c r="C19" s="21">
        <v>27785</v>
      </c>
      <c r="D19" s="20" t="s">
        <v>150</v>
      </c>
      <c r="E19" s="20" t="s">
        <v>161</v>
      </c>
      <c r="F19" s="20" t="s">
        <v>179</v>
      </c>
    </row>
    <row r="20" spans="1:6" x14ac:dyDescent="0.3">
      <c r="A20" s="20" t="s">
        <v>106</v>
      </c>
      <c r="B20" s="20" t="s">
        <v>133</v>
      </c>
      <c r="C20" s="21">
        <v>27952</v>
      </c>
      <c r="D20" s="20" t="s">
        <v>151</v>
      </c>
      <c r="E20" s="20" t="s">
        <v>157</v>
      </c>
      <c r="F20" s="20" t="s">
        <v>181</v>
      </c>
    </row>
    <row r="21" spans="1:6" x14ac:dyDescent="0.3">
      <c r="A21" s="20" t="s">
        <v>68</v>
      </c>
      <c r="B21" s="20" t="s">
        <v>129</v>
      </c>
      <c r="C21" s="21">
        <v>24393</v>
      </c>
      <c r="D21" s="20" t="s">
        <v>152</v>
      </c>
      <c r="E21" s="20" t="s">
        <v>162</v>
      </c>
      <c r="F21" s="20" t="s">
        <v>168</v>
      </c>
    </row>
    <row r="22" spans="1:6" x14ac:dyDescent="0.3">
      <c r="A22" s="20" t="s">
        <v>107</v>
      </c>
      <c r="B22" s="20" t="s">
        <v>130</v>
      </c>
      <c r="C22" s="21">
        <v>28031</v>
      </c>
      <c r="D22" s="20" t="s">
        <v>153</v>
      </c>
      <c r="E22" s="20" t="s">
        <v>163</v>
      </c>
      <c r="F22" s="20" t="s">
        <v>180</v>
      </c>
    </row>
    <row r="23" spans="1:6" x14ac:dyDescent="0.3">
      <c r="A23" s="20" t="s">
        <v>108</v>
      </c>
      <c r="B23" s="20" t="s">
        <v>131</v>
      </c>
      <c r="C23" s="21">
        <v>28032</v>
      </c>
      <c r="D23" s="20" t="s">
        <v>154</v>
      </c>
      <c r="E23" s="20" t="s">
        <v>164</v>
      </c>
      <c r="F23" s="20" t="s">
        <v>171</v>
      </c>
    </row>
    <row r="24" spans="1:6" x14ac:dyDescent="0.3">
      <c r="A24" t="s">
        <v>190</v>
      </c>
      <c r="B24" t="s">
        <v>191</v>
      </c>
      <c r="C24" t="s">
        <v>191</v>
      </c>
      <c r="D24" t="s">
        <v>191</v>
      </c>
      <c r="E24" t="s">
        <v>191</v>
      </c>
      <c r="F24" t="s">
        <v>191</v>
      </c>
    </row>
    <row r="25" spans="1:6" x14ac:dyDescent="0.3">
      <c r="A25" t="s">
        <v>192</v>
      </c>
      <c r="B25" t="s">
        <v>193</v>
      </c>
      <c r="C25" t="s">
        <v>193</v>
      </c>
      <c r="D25" t="s">
        <v>193</v>
      </c>
      <c r="E25" t="s">
        <v>193</v>
      </c>
      <c r="F25" t="s">
        <v>193</v>
      </c>
    </row>
    <row r="26" spans="1:6" x14ac:dyDescent="0.3">
      <c r="A26" t="s">
        <v>194</v>
      </c>
      <c r="B26" t="s">
        <v>193</v>
      </c>
      <c r="C26" t="s">
        <v>195</v>
      </c>
      <c r="D26" t="s">
        <v>193</v>
      </c>
      <c r="E26" t="s">
        <v>193</v>
      </c>
      <c r="F26" t="s">
        <v>193</v>
      </c>
    </row>
    <row r="27" spans="1:6" x14ac:dyDescent="0.3">
      <c r="A27" t="s">
        <v>194</v>
      </c>
      <c r="B27" t="s">
        <v>196</v>
      </c>
      <c r="C27" t="s">
        <v>195</v>
      </c>
      <c r="D27" t="s">
        <v>193</v>
      </c>
      <c r="E27" t="s">
        <v>193</v>
      </c>
      <c r="F27" t="s">
        <v>195</v>
      </c>
    </row>
    <row r="33" spans="2:2" x14ac:dyDescent="0.3">
      <c r="B33" t="s">
        <v>189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:L31"/>
  <sheetViews>
    <sheetView workbookViewId="0">
      <selection activeCell="R18" sqref="R18"/>
    </sheetView>
  </sheetViews>
  <sheetFormatPr defaultRowHeight="16.5" x14ac:dyDescent="0.3"/>
  <cols>
    <col min="2" max="2" width="17.5" customWidth="1"/>
    <col min="3" max="3" width="12.5" customWidth="1"/>
    <col min="4" max="4" width="16.375" style="14" customWidth="1"/>
    <col min="5" max="5" width="12.125" style="14" customWidth="1"/>
    <col min="6" max="6" width="9" style="14"/>
    <col min="7" max="7" width="21.75" customWidth="1"/>
    <col min="10" max="10" width="11.875" bestFit="1" customWidth="1"/>
    <col min="11" max="11" width="9.375" bestFit="1" customWidth="1"/>
    <col min="12" max="13" width="15.25" bestFit="1" customWidth="1"/>
    <col min="14" max="16" width="4.75" bestFit="1" customWidth="1"/>
    <col min="17" max="17" width="5.875" bestFit="1" customWidth="1"/>
    <col min="18" max="18" width="7.375" bestFit="1" customWidth="1"/>
    <col min="19" max="19" width="20.125" bestFit="1" customWidth="1"/>
  </cols>
  <sheetData>
    <row r="1" spans="1:12" x14ac:dyDescent="0.3">
      <c r="A1" s="29"/>
      <c r="B1" s="29"/>
      <c r="C1" s="29"/>
      <c r="D1" s="29"/>
      <c r="E1" s="29"/>
      <c r="F1" s="29"/>
    </row>
    <row r="3" spans="1:12" x14ac:dyDescent="0.3">
      <c r="A3" s="12" t="s">
        <v>59</v>
      </c>
      <c r="B3" s="12" t="s">
        <v>60</v>
      </c>
      <c r="C3" s="12" t="s">
        <v>61</v>
      </c>
      <c r="D3" s="12" t="s">
        <v>62</v>
      </c>
      <c r="E3" s="12" t="s">
        <v>84</v>
      </c>
      <c r="F3" s="12" t="s">
        <v>63</v>
      </c>
      <c r="G3" s="12" t="s">
        <v>83</v>
      </c>
    </row>
    <row r="4" spans="1:12" x14ac:dyDescent="0.3">
      <c r="A4" t="s">
        <v>64</v>
      </c>
      <c r="B4" t="s">
        <v>75</v>
      </c>
      <c r="C4">
        <v>50000000</v>
      </c>
      <c r="D4" s="13">
        <v>40098</v>
      </c>
      <c r="E4" s="15">
        <v>134000</v>
      </c>
      <c r="F4" s="14" t="s">
        <v>9</v>
      </c>
      <c r="G4" s="16" cm="1">
        <f t="array" ref="G4">총보험료(D4,E4)</f>
        <v>17822000</v>
      </c>
    </row>
    <row r="5" spans="1:12" x14ac:dyDescent="0.3">
      <c r="A5" t="s">
        <v>64</v>
      </c>
      <c r="B5" t="s">
        <v>75</v>
      </c>
      <c r="C5">
        <v>50000000</v>
      </c>
      <c r="D5" s="13">
        <v>40098</v>
      </c>
      <c r="E5" s="15">
        <v>134000</v>
      </c>
      <c r="F5" s="14" t="s">
        <v>9</v>
      </c>
      <c r="G5" cm="1">
        <f t="array" ref="G5">총보험료(D5,E5)</f>
        <v>17822000</v>
      </c>
    </row>
    <row r="6" spans="1:12" x14ac:dyDescent="0.3">
      <c r="A6" t="s">
        <v>65</v>
      </c>
      <c r="B6" t="s">
        <v>75</v>
      </c>
      <c r="C6">
        <v>70000000</v>
      </c>
      <c r="D6" s="13">
        <v>40938</v>
      </c>
      <c r="E6" s="15">
        <v>201400</v>
      </c>
      <c r="F6" s="14" t="s">
        <v>10</v>
      </c>
      <c r="G6" cm="1">
        <f t="array" ref="G6">총보험료(D6,E6)</f>
        <v>21348400</v>
      </c>
    </row>
    <row r="7" spans="1:12" x14ac:dyDescent="0.3">
      <c r="A7" t="s">
        <v>65</v>
      </c>
      <c r="B7" t="s">
        <v>76</v>
      </c>
      <c r="C7">
        <v>70000000</v>
      </c>
      <c r="D7" s="13">
        <v>41118</v>
      </c>
      <c r="E7" s="15">
        <v>98000</v>
      </c>
      <c r="F7" s="14" t="s">
        <v>16</v>
      </c>
      <c r="G7" cm="1">
        <f t="array" ref="G7">총보험료(D7,E7)</f>
        <v>9800000</v>
      </c>
      <c r="I7" s="17" t="s">
        <v>100</v>
      </c>
      <c r="J7" s="17" t="s">
        <v>101</v>
      </c>
      <c r="K7" t="s">
        <v>99</v>
      </c>
      <c r="L7" t="s">
        <v>98</v>
      </c>
    </row>
    <row r="8" spans="1:12" x14ac:dyDescent="0.3">
      <c r="A8" t="s">
        <v>66</v>
      </c>
      <c r="B8" t="s">
        <v>75</v>
      </c>
      <c r="C8">
        <v>50000000</v>
      </c>
      <c r="D8" s="13">
        <v>40938</v>
      </c>
      <c r="E8" s="15">
        <v>134000</v>
      </c>
      <c r="F8" s="14" t="s">
        <v>11</v>
      </c>
      <c r="G8" cm="1">
        <f t="array" ref="G8">총보험료(D8,E8)</f>
        <v>14204000</v>
      </c>
      <c r="I8" t="s">
        <v>88</v>
      </c>
      <c r="K8" s="18">
        <v>3</v>
      </c>
      <c r="L8" s="19">
        <v>83333333.333333328</v>
      </c>
    </row>
    <row r="9" spans="1:12" x14ac:dyDescent="0.3">
      <c r="A9" t="s">
        <v>66</v>
      </c>
      <c r="B9" t="s">
        <v>77</v>
      </c>
      <c r="C9">
        <v>80000000</v>
      </c>
      <c r="D9" s="13">
        <v>41178</v>
      </c>
      <c r="E9" s="15">
        <v>159000</v>
      </c>
      <c r="F9" s="14" t="s">
        <v>19</v>
      </c>
      <c r="G9" cm="1">
        <f t="array" ref="G9">총보험료(D9,E9)</f>
        <v>15582000</v>
      </c>
      <c r="J9" s="3" t="s">
        <v>97</v>
      </c>
      <c r="K9" s="18">
        <v>3</v>
      </c>
      <c r="L9" s="19">
        <v>83333333.333333328</v>
      </c>
    </row>
    <row r="10" spans="1:12" x14ac:dyDescent="0.3">
      <c r="A10" t="s">
        <v>67</v>
      </c>
      <c r="B10" t="s">
        <v>79</v>
      </c>
      <c r="C10">
        <v>30000000</v>
      </c>
      <c r="D10" s="13">
        <v>41688</v>
      </c>
      <c r="E10" s="15">
        <v>25200</v>
      </c>
      <c r="F10" s="14" t="s">
        <v>19</v>
      </c>
      <c r="G10" cm="1">
        <f t="array" ref="G10">총보험료(D10,E10)</f>
        <v>2041200</v>
      </c>
      <c r="I10" t="s">
        <v>87</v>
      </c>
      <c r="K10" s="18">
        <v>2</v>
      </c>
      <c r="L10" s="19">
        <v>45000000</v>
      </c>
    </row>
    <row r="11" spans="1:12" x14ac:dyDescent="0.3">
      <c r="A11" t="s">
        <v>67</v>
      </c>
      <c r="B11" t="s">
        <v>76</v>
      </c>
      <c r="C11">
        <v>30000000</v>
      </c>
      <c r="D11" s="13">
        <v>40938</v>
      </c>
      <c r="E11" s="15">
        <v>98000</v>
      </c>
      <c r="F11" s="14" t="s">
        <v>6</v>
      </c>
      <c r="G11" cm="1">
        <f t="array" ref="G11">총보험료(D11,E11)</f>
        <v>10388000</v>
      </c>
      <c r="J11" s="3" t="s">
        <v>85</v>
      </c>
      <c r="K11" s="18">
        <v>1</v>
      </c>
      <c r="L11" s="19">
        <v>70000000</v>
      </c>
    </row>
    <row r="12" spans="1:12" x14ac:dyDescent="0.3">
      <c r="A12" t="s">
        <v>68</v>
      </c>
      <c r="B12" t="s">
        <v>77</v>
      </c>
      <c r="C12">
        <v>100000000</v>
      </c>
      <c r="D12" s="13">
        <v>40938</v>
      </c>
      <c r="E12" s="15">
        <v>378000</v>
      </c>
      <c r="F12" s="14" t="s">
        <v>8</v>
      </c>
      <c r="G12" cm="1">
        <f t="array" ref="G12">총보험료(D12,E12)</f>
        <v>40068000</v>
      </c>
      <c r="J12" s="3" t="s">
        <v>97</v>
      </c>
      <c r="K12" s="18">
        <v>1</v>
      </c>
      <c r="L12" s="19">
        <v>20000000</v>
      </c>
    </row>
    <row r="13" spans="1:12" x14ac:dyDescent="0.3">
      <c r="A13" t="s">
        <v>68</v>
      </c>
      <c r="B13" t="s">
        <v>78</v>
      </c>
      <c r="C13">
        <v>20000000</v>
      </c>
      <c r="D13" s="13">
        <v>40938</v>
      </c>
      <c r="E13" s="15">
        <v>434500</v>
      </c>
      <c r="F13" s="14" t="s">
        <v>16</v>
      </c>
      <c r="G13" cm="1">
        <f t="array" ref="G13">총보험료(D13,E13)</f>
        <v>46057000</v>
      </c>
      <c r="I13" t="s">
        <v>89</v>
      </c>
      <c r="K13" s="18">
        <v>1</v>
      </c>
      <c r="L13" s="19">
        <v>70000000</v>
      </c>
    </row>
    <row r="14" spans="1:12" x14ac:dyDescent="0.3">
      <c r="A14" t="s">
        <v>68</v>
      </c>
      <c r="B14" t="s">
        <v>76</v>
      </c>
      <c r="C14">
        <v>30000000</v>
      </c>
      <c r="D14" s="13">
        <v>40938</v>
      </c>
      <c r="E14" s="15">
        <v>98000</v>
      </c>
      <c r="F14" s="14" t="s">
        <v>10</v>
      </c>
      <c r="G14" cm="1">
        <f t="array" ref="G14">총보험료(D14,E14)</f>
        <v>10388000</v>
      </c>
      <c r="J14" s="3" t="s">
        <v>96</v>
      </c>
      <c r="K14" s="18">
        <v>1</v>
      </c>
      <c r="L14" s="19">
        <v>70000000</v>
      </c>
    </row>
    <row r="15" spans="1:12" x14ac:dyDescent="0.3">
      <c r="A15" t="s">
        <v>68</v>
      </c>
      <c r="B15" t="s">
        <v>75</v>
      </c>
      <c r="C15">
        <v>250000000</v>
      </c>
      <c r="D15" s="13">
        <v>41118</v>
      </c>
      <c r="E15" s="15">
        <v>340000</v>
      </c>
      <c r="F15" s="14" t="s">
        <v>16</v>
      </c>
      <c r="G15" cm="1">
        <f t="array" ref="G15">총보험료(D15,E15)</f>
        <v>34000000</v>
      </c>
      <c r="I15" t="s">
        <v>86</v>
      </c>
      <c r="K15" s="18">
        <v>14</v>
      </c>
      <c r="L15" s="19">
        <v>63571428.571428575</v>
      </c>
    </row>
    <row r="16" spans="1:12" x14ac:dyDescent="0.3">
      <c r="A16" t="s">
        <v>68</v>
      </c>
      <c r="B16" t="s">
        <v>80</v>
      </c>
      <c r="C16">
        <v>30000000</v>
      </c>
      <c r="D16" s="13">
        <v>41688</v>
      </c>
      <c r="E16" s="15">
        <v>25200</v>
      </c>
      <c r="F16" s="14" t="s">
        <v>18</v>
      </c>
      <c r="G16" cm="1">
        <f t="array" ref="G16">총보험료(D16,E16)</f>
        <v>2041200</v>
      </c>
      <c r="J16" s="3" t="s">
        <v>92</v>
      </c>
      <c r="K16" s="18">
        <v>6</v>
      </c>
      <c r="L16" s="19">
        <v>50000000</v>
      </c>
    </row>
    <row r="17" spans="1:12" x14ac:dyDescent="0.3">
      <c r="A17" t="s">
        <v>68</v>
      </c>
      <c r="B17" t="s">
        <v>78</v>
      </c>
      <c r="C17">
        <v>30000000</v>
      </c>
      <c r="D17" s="13">
        <v>41178</v>
      </c>
      <c r="E17" s="15">
        <v>49800</v>
      </c>
      <c r="F17" s="14" t="s">
        <v>9</v>
      </c>
      <c r="G17" cm="1">
        <f t="array" ref="G17">총보험료(D17,E17)</f>
        <v>4880400</v>
      </c>
      <c r="J17" s="3" t="s">
        <v>95</v>
      </c>
      <c r="K17" s="18">
        <v>2</v>
      </c>
      <c r="L17" s="19">
        <v>160000000</v>
      </c>
    </row>
    <row r="18" spans="1:12" x14ac:dyDescent="0.3">
      <c r="A18" t="s">
        <v>69</v>
      </c>
      <c r="B18" t="s">
        <v>75</v>
      </c>
      <c r="C18">
        <v>50000000</v>
      </c>
      <c r="D18" s="13">
        <v>41178</v>
      </c>
      <c r="E18" s="15">
        <v>120000</v>
      </c>
      <c r="F18" s="14" t="s">
        <v>14</v>
      </c>
      <c r="G18" cm="1">
        <f t="array" ref="G18">총보험료(D18,E18)</f>
        <v>11760000</v>
      </c>
      <c r="J18" s="3" t="s">
        <v>85</v>
      </c>
      <c r="K18" s="18">
        <v>6</v>
      </c>
      <c r="L18" s="19">
        <v>45000000</v>
      </c>
    </row>
    <row r="19" spans="1:12" x14ac:dyDescent="0.3">
      <c r="A19" t="s">
        <v>69</v>
      </c>
      <c r="B19" t="s">
        <v>78</v>
      </c>
      <c r="C19">
        <v>150000000</v>
      </c>
      <c r="D19" s="13">
        <v>40098</v>
      </c>
      <c r="E19" s="15">
        <v>244000</v>
      </c>
      <c r="F19" s="14" t="s">
        <v>20</v>
      </c>
      <c r="G19" cm="1">
        <f t="array" ref="G19">총보험료(D19,E19)</f>
        <v>32452000</v>
      </c>
      <c r="I19" t="s">
        <v>90</v>
      </c>
      <c r="K19" s="18">
        <v>1</v>
      </c>
      <c r="L19" s="19">
        <v>20000000</v>
      </c>
    </row>
    <row r="20" spans="1:12" x14ac:dyDescent="0.3">
      <c r="A20" t="s">
        <v>70</v>
      </c>
      <c r="B20" t="s">
        <v>78</v>
      </c>
      <c r="C20">
        <v>20000000</v>
      </c>
      <c r="D20" s="13">
        <v>40458</v>
      </c>
      <c r="E20" s="15">
        <v>23800</v>
      </c>
      <c r="F20" s="14" t="s">
        <v>12</v>
      </c>
      <c r="G20" cm="1">
        <f t="array" ref="G20">총보험료(D20,E20)</f>
        <v>2879800</v>
      </c>
      <c r="J20" s="3" t="s">
        <v>85</v>
      </c>
      <c r="K20" s="18">
        <v>1</v>
      </c>
      <c r="L20" s="19">
        <v>20000000</v>
      </c>
    </row>
    <row r="21" spans="1:12" x14ac:dyDescent="0.3">
      <c r="A21" t="s">
        <v>70</v>
      </c>
      <c r="B21" t="s">
        <v>75</v>
      </c>
      <c r="C21">
        <v>20000000</v>
      </c>
      <c r="D21" s="13">
        <v>41538</v>
      </c>
      <c r="E21" s="15">
        <v>34500</v>
      </c>
      <c r="F21" s="14" t="s">
        <v>21</v>
      </c>
      <c r="G21" cm="1">
        <f t="array" ref="G21">총보험료(D21,E21)</f>
        <v>2967000</v>
      </c>
      <c r="I21" t="s">
        <v>91</v>
      </c>
      <c r="K21" s="18">
        <v>5</v>
      </c>
      <c r="L21" s="19">
        <v>34000000</v>
      </c>
    </row>
    <row r="22" spans="1:12" x14ac:dyDescent="0.3">
      <c r="A22" t="s">
        <v>71</v>
      </c>
      <c r="B22" t="s">
        <v>76</v>
      </c>
      <c r="C22">
        <v>30000000</v>
      </c>
      <c r="D22" s="13">
        <v>41178</v>
      </c>
      <c r="E22" s="15">
        <v>89000</v>
      </c>
      <c r="F22" s="14" t="s">
        <v>13</v>
      </c>
      <c r="G22" cm="1">
        <f t="array" ref="G22">총보험료(D22,E22)</f>
        <v>8722000</v>
      </c>
      <c r="J22" s="3" t="s">
        <v>93</v>
      </c>
      <c r="K22" s="18">
        <v>3</v>
      </c>
      <c r="L22" s="19">
        <v>23333333.333333332</v>
      </c>
    </row>
    <row r="23" spans="1:12" x14ac:dyDescent="0.3">
      <c r="A23" t="s">
        <v>71</v>
      </c>
      <c r="B23" t="s">
        <v>81</v>
      </c>
      <c r="C23">
        <v>10000000</v>
      </c>
      <c r="D23" s="13">
        <v>41688</v>
      </c>
      <c r="E23" s="15">
        <v>34200</v>
      </c>
      <c r="F23" s="14" t="s">
        <v>16</v>
      </c>
      <c r="G23" cm="1">
        <f t="array" ref="G23">총보험료(D23,E23)</f>
        <v>2770200</v>
      </c>
      <c r="J23" s="3" t="s">
        <v>94</v>
      </c>
      <c r="K23" s="18">
        <v>1</v>
      </c>
      <c r="L23" s="19">
        <v>70000000</v>
      </c>
    </row>
    <row r="24" spans="1:12" x14ac:dyDescent="0.3">
      <c r="A24" t="s">
        <v>72</v>
      </c>
      <c r="B24" t="s">
        <v>77</v>
      </c>
      <c r="C24">
        <v>70000000</v>
      </c>
      <c r="D24" s="13">
        <v>40758</v>
      </c>
      <c r="E24" s="15">
        <v>167000</v>
      </c>
      <c r="F24" s="14" t="s">
        <v>7</v>
      </c>
      <c r="G24" cm="1">
        <f t="array" ref="G24">총보험료(D24,E24)</f>
        <v>18537000</v>
      </c>
      <c r="J24" s="3" t="s">
        <v>95</v>
      </c>
      <c r="K24" s="18">
        <v>1</v>
      </c>
      <c r="L24" s="19">
        <v>30000000</v>
      </c>
    </row>
    <row r="25" spans="1:12" x14ac:dyDescent="0.3">
      <c r="A25" t="s">
        <v>72</v>
      </c>
      <c r="B25" t="s">
        <v>76</v>
      </c>
      <c r="C25">
        <v>50000000</v>
      </c>
      <c r="D25" s="13">
        <v>41178</v>
      </c>
      <c r="E25" s="15">
        <v>170000</v>
      </c>
      <c r="F25" s="14" t="s">
        <v>15</v>
      </c>
      <c r="G25" cm="1">
        <f t="array" ref="G25">총보험료(D25,E25)</f>
        <v>16660000</v>
      </c>
    </row>
    <row r="26" spans="1:12" x14ac:dyDescent="0.3">
      <c r="A26" t="s">
        <v>73</v>
      </c>
      <c r="B26" t="s">
        <v>77</v>
      </c>
      <c r="C26">
        <v>70000000</v>
      </c>
      <c r="D26" s="13">
        <v>40428</v>
      </c>
      <c r="E26" s="15">
        <v>158000</v>
      </c>
      <c r="F26" s="14" t="s">
        <v>6</v>
      </c>
      <c r="G26" cm="1">
        <f t="array" ref="G26">총보험료(D26,E26)</f>
        <v>19276000</v>
      </c>
    </row>
    <row r="27" spans="1:12" x14ac:dyDescent="0.3">
      <c r="A27" t="s">
        <v>73</v>
      </c>
      <c r="B27" t="s">
        <v>78</v>
      </c>
      <c r="C27">
        <v>30000000</v>
      </c>
      <c r="D27" s="13">
        <v>41838</v>
      </c>
      <c r="E27" s="15">
        <v>38900</v>
      </c>
      <c r="F27" s="14" t="s">
        <v>82</v>
      </c>
      <c r="G27" cm="1">
        <f t="array" ref="G27">총보험료(D27,E27)</f>
        <v>2956400</v>
      </c>
    </row>
    <row r="28" spans="1:12" x14ac:dyDescent="0.3">
      <c r="A28" t="s">
        <v>74</v>
      </c>
      <c r="B28" t="s">
        <v>80</v>
      </c>
      <c r="C28">
        <v>30000000</v>
      </c>
      <c r="D28" s="13">
        <v>41178</v>
      </c>
      <c r="E28" s="15">
        <v>38340</v>
      </c>
      <c r="F28" s="14" t="s">
        <v>18</v>
      </c>
      <c r="G28" cm="1">
        <f t="array" ref="G28">총보험료(D28,E28)</f>
        <v>3757320</v>
      </c>
    </row>
    <row r="29" spans="1:12" x14ac:dyDescent="0.3">
      <c r="A29" t="s">
        <v>74</v>
      </c>
      <c r="B29" t="s">
        <v>75</v>
      </c>
      <c r="C29">
        <v>70000000</v>
      </c>
      <c r="D29" s="13">
        <v>41778</v>
      </c>
      <c r="E29" s="15">
        <v>124700</v>
      </c>
      <c r="F29" s="14" t="s">
        <v>20</v>
      </c>
      <c r="G29" cm="1">
        <f t="array" ref="G29">총보험료(D29,E29)</f>
        <v>9726600</v>
      </c>
    </row>
    <row r="30" spans="1:12" x14ac:dyDescent="0.3">
      <c r="A30" t="s">
        <v>197</v>
      </c>
      <c r="B30" t="s">
        <v>198</v>
      </c>
      <c r="C30">
        <v>1</v>
      </c>
      <c r="D30" s="13">
        <v>43957</v>
      </c>
      <c r="E30" s="14">
        <v>1</v>
      </c>
      <c r="F30" s="14" t="s">
        <v>186</v>
      </c>
      <c r="G30">
        <f>총보험료(D30,E30)</f>
        <v>6</v>
      </c>
      <c r="H30" t="str">
        <f>IF(OR(MID(VLOOKUP(F30,영업사원!$A$3:$F$20,4,FALSE),8,1)="1", MID(VLOOKUP(F30,영업사원!$A$3:$F$20,4,FALSE),8,1)="3"),"남자","여자")</f>
        <v>여자</v>
      </c>
    </row>
    <row r="31" spans="1:12" x14ac:dyDescent="0.3">
      <c r="A31" t="s">
        <v>71</v>
      </c>
      <c r="B31" t="s">
        <v>81</v>
      </c>
      <c r="C31">
        <v>10000000</v>
      </c>
      <c r="D31" s="13">
        <v>41688</v>
      </c>
      <c r="E31" s="15">
        <v>34200</v>
      </c>
      <c r="F31" s="24" t="s">
        <v>16</v>
      </c>
      <c r="G31" cm="1">
        <f t="array" ref="G31">총보험료(D31,E31)</f>
        <v>2770200</v>
      </c>
    </row>
  </sheetData>
  <mergeCells count="1">
    <mergeCell ref="A1:F1"/>
  </mergeCells>
  <phoneticPr fontId="3" type="noConversion"/>
  <conditionalFormatting sqref="A4:G43000">
    <cfRule type="expression" dxfId="1" priority="1">
      <formula>$A4 &lt;&gt; ""</formula>
    </cfRule>
    <cfRule type="expression" dxfId="0" priority="7">
      <formula>OR($C4 &gt;= 100000000,$E4&gt;= 300000)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B6:E11"/>
  <sheetViews>
    <sheetView showGridLines="0" zoomScaleNormal="100" workbookViewId="0">
      <selection activeCell="K19" sqref="K19"/>
    </sheetView>
  </sheetViews>
  <sheetFormatPr defaultRowHeight="16.5" x14ac:dyDescent="0.3"/>
  <sheetData>
    <row r="6" spans="2:5" x14ac:dyDescent="0.3">
      <c r="B6" s="25"/>
      <c r="C6" s="30"/>
      <c r="D6" s="31"/>
      <c r="E6" s="32"/>
    </row>
    <row r="7" spans="2:5" x14ac:dyDescent="0.3">
      <c r="B7" s="25"/>
      <c r="C7" s="30"/>
      <c r="D7" s="31"/>
      <c r="E7" s="32"/>
    </row>
    <row r="8" spans="2:5" x14ac:dyDescent="0.3">
      <c r="B8" s="25"/>
      <c r="C8" s="30"/>
      <c r="D8" s="31"/>
      <c r="E8" s="32"/>
    </row>
    <row r="9" spans="2:5" x14ac:dyDescent="0.3">
      <c r="B9" s="25"/>
      <c r="C9" s="30"/>
      <c r="D9" s="31"/>
      <c r="E9" s="32"/>
    </row>
    <row r="10" spans="2:5" x14ac:dyDescent="0.3">
      <c r="B10" s="25"/>
      <c r="C10" s="30"/>
      <c r="D10" s="31"/>
      <c r="E10" s="32"/>
    </row>
    <row r="11" spans="2:5" x14ac:dyDescent="0.3">
      <c r="B11" s="23"/>
      <c r="C11" s="23"/>
      <c r="D11" s="23"/>
      <c r="E11" s="23"/>
    </row>
  </sheetData>
  <mergeCells count="5">
    <mergeCell ref="C6:E6"/>
    <mergeCell ref="C7:E7"/>
    <mergeCell ref="C8:E8"/>
    <mergeCell ref="C9:E9"/>
    <mergeCell ref="C10:E10"/>
  </mergeCells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:E7"/>
  <sheetViews>
    <sheetView workbookViewId="0">
      <selection activeCell="C2" sqref="C2"/>
    </sheetView>
  </sheetViews>
  <sheetFormatPr defaultRowHeight="16.5" x14ac:dyDescent="0.3"/>
  <cols>
    <col min="1" max="1" width="13" bestFit="1" customWidth="1"/>
    <col min="3" max="3" width="13" bestFit="1" customWidth="1"/>
  </cols>
  <sheetData>
    <row r="1" spans="1:5" x14ac:dyDescent="0.3">
      <c r="A1" s="26" t="s">
        <v>60</v>
      </c>
      <c r="B1" s="27" t="s">
        <v>199</v>
      </c>
      <c r="C1" s="27" t="s">
        <v>200</v>
      </c>
      <c r="D1">
        <f>MAX(B2:B7)</f>
        <v>8</v>
      </c>
      <c r="E1" s="27" t="s">
        <v>201</v>
      </c>
    </row>
    <row r="2" spans="1:5" x14ac:dyDescent="0.3">
      <c r="A2" s="22" t="s">
        <v>81</v>
      </c>
      <c r="B2" s="22">
        <f>COUNTIF(보험계약현황!$B$4:$B$43000,계약현황차트!A2)</f>
        <v>2</v>
      </c>
      <c r="C2" s="28">
        <f>SUMIF(보험계약현황!$B$4:$B$43000,A2,보험계약현황!$C$4:$C$43000)/B2</f>
        <v>10000000</v>
      </c>
      <c r="E2" t="e">
        <f t="shared" ref="E2:E7" si="0">IF(B2=LARGE($D$1,1),B2,NA())</f>
        <v>#N/A</v>
      </c>
    </row>
    <row r="3" spans="1:5" x14ac:dyDescent="0.3">
      <c r="A3" s="22" t="s">
        <v>80</v>
      </c>
      <c r="B3" s="22">
        <f>COUNTIF(보험계약현황!$B$4:$B$43000,계약현황차트!A3)</f>
        <v>2</v>
      </c>
      <c r="C3" s="28">
        <f>SUMIF(보험계약현황!$B$4:$B$43000,A3,보험계약현황!$C$4:$C$43000)/B3</f>
        <v>30000000</v>
      </c>
      <c r="E3" t="e">
        <f t="shared" si="0"/>
        <v>#N/A</v>
      </c>
    </row>
    <row r="4" spans="1:5" x14ac:dyDescent="0.3">
      <c r="A4" s="22" t="s">
        <v>76</v>
      </c>
      <c r="B4" s="22">
        <f>COUNTIF(보험계약현황!$B$4:$B$43000,계약현황차트!A4)</f>
        <v>5</v>
      </c>
      <c r="C4" s="28">
        <f>SUMIF(보험계약현황!$B$4:$B$43000,A4,보험계약현황!$C$4:$C$43000)/B4</f>
        <v>42000000</v>
      </c>
      <c r="E4" t="e">
        <f t="shared" si="0"/>
        <v>#N/A</v>
      </c>
    </row>
    <row r="5" spans="1:5" x14ac:dyDescent="0.3">
      <c r="A5" s="22" t="s">
        <v>78</v>
      </c>
      <c r="B5" s="22">
        <f>COUNTIF(보험계약현황!$B$4:$B$43000,계약현황차트!A5)</f>
        <v>5</v>
      </c>
      <c r="C5" s="28">
        <f>SUMIF(보험계약현황!$B$4:$B$43000,A5,보험계약현황!$C$4:$C$43000)/B5</f>
        <v>50000000</v>
      </c>
      <c r="E5" t="e">
        <f t="shared" si="0"/>
        <v>#N/A</v>
      </c>
    </row>
    <row r="6" spans="1:5" x14ac:dyDescent="0.3">
      <c r="A6" s="22" t="s">
        <v>75</v>
      </c>
      <c r="B6" s="22">
        <f>COUNTIF(보험계약현황!$B$4:$B$43000,계약현황차트!A6)</f>
        <v>8</v>
      </c>
      <c r="C6" s="28">
        <f>SUMIF(보험계약현황!$B$4:$B$43000,A6,보험계약현황!$C$4:$C$43000)/B6</f>
        <v>76250000</v>
      </c>
      <c r="E6">
        <f t="shared" si="0"/>
        <v>8</v>
      </c>
    </row>
    <row r="7" spans="1:5" x14ac:dyDescent="0.3">
      <c r="A7" s="22" t="s">
        <v>77</v>
      </c>
      <c r="B7" s="22">
        <f>COUNTIF(보험계약현황!$B$4:$B$43000,계약현황차트!A7)</f>
        <v>4</v>
      </c>
      <c r="C7" s="28">
        <f>SUMIF(보험계약현황!$B$4:$B$43000,A7,보험계약현황!$C$4:$C$43000)/B7</f>
        <v>80000000</v>
      </c>
      <c r="E7" t="e">
        <f t="shared" si="0"/>
        <v>#N/A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cp:lastPrinted>2020-05-06T01:08:52Z</cp:lastPrinted>
  <dcterms:created xsi:type="dcterms:W3CDTF">2020-04-19T07:28:59Z</dcterms:created>
  <dcterms:modified xsi:type="dcterms:W3CDTF">2020-11-17T17:06:57Z</dcterms:modified>
</cp:coreProperties>
</file>