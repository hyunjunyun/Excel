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기능대회\"/>
    </mc:Choice>
  </mc:AlternateContent>
  <xr:revisionPtr revIDLastSave="0" documentId="13_ncr:1_{CB9FC362-B36F-41FF-887D-F7E57D1E87DB}" xr6:coauthVersionLast="45" xr6:coauthVersionMax="45" xr10:uidLastSave="{00000000-0000-0000-0000-000000000000}"/>
  <bookViews>
    <workbookView xWindow="40680" yWindow="1725" windowWidth="18000" windowHeight="11385" activeTab="1" xr2:uid="{B43D9E90-2B42-4437-AFDE-CABADD9786AD}"/>
  </bookViews>
  <sheets>
    <sheet name="Main" sheetId="1" r:id="rId1"/>
    <sheet name="영업사원" sheetId="2" r:id="rId2"/>
    <sheet name="고객명단" sheetId="3" r:id="rId3"/>
    <sheet name="보험계약현황" sheetId="4" r:id="rId4"/>
    <sheet name="보험증" sheetId="5" r:id="rId5"/>
    <sheet name="계약현황차트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0" i="2" l="1"/>
  <c r="F20" i="2" s="1"/>
  <c r="G19" i="2"/>
  <c r="F19" i="2" s="1"/>
  <c r="G4" i="2"/>
  <c r="F4" i="2" s="1"/>
  <c r="G18" i="2"/>
  <c r="F18" i="2" s="1"/>
  <c r="G17" i="2"/>
  <c r="F17" i="2" s="1"/>
  <c r="G16" i="2"/>
  <c r="F16" i="2" s="1"/>
  <c r="G15" i="2"/>
  <c r="F15" i="2" s="1"/>
  <c r="G14" i="2"/>
  <c r="F14" i="2" s="1"/>
  <c r="G13" i="2"/>
  <c r="F13" i="2" s="1"/>
  <c r="G12" i="2"/>
  <c r="F12" i="2" s="1"/>
  <c r="G11" i="2"/>
  <c r="F11" i="2" s="1"/>
  <c r="G10" i="2"/>
  <c r="F10" i="2" s="1"/>
  <c r="G9" i="2"/>
  <c r="F9" i="2" s="1"/>
  <c r="G8" i="2"/>
  <c r="F8" i="2" s="1"/>
  <c r="G7" i="2"/>
  <c r="F7" i="2" s="1"/>
  <c r="G6" i="2"/>
  <c r="F6" i="2" s="1"/>
  <c r="G5" i="2"/>
  <c r="F5" i="2" s="1"/>
</calcChain>
</file>

<file path=xl/sharedStrings.xml><?xml version="1.0" encoding="utf-8"?>
<sst xmlns="http://schemas.openxmlformats.org/spreadsheetml/2006/main" count="79" uniqueCount="62">
  <si>
    <t>이름</t>
    <phoneticPr fontId="3" type="noConversion"/>
  </si>
  <si>
    <t>비밀번호</t>
    <phoneticPr fontId="3" type="noConversion"/>
  </si>
  <si>
    <t>직급</t>
    <phoneticPr fontId="3" type="noConversion"/>
  </si>
  <si>
    <t>주민번호</t>
    <phoneticPr fontId="3" type="noConversion"/>
  </si>
  <si>
    <t>입사일지</t>
    <phoneticPr fontId="3" type="noConversion"/>
  </si>
  <si>
    <t>수당비율</t>
    <phoneticPr fontId="3" type="noConversion"/>
  </si>
  <si>
    <t>정준석</t>
    <phoneticPr fontId="3" type="noConversion"/>
  </si>
  <si>
    <t>강장환</t>
    <phoneticPr fontId="3" type="noConversion"/>
  </si>
  <si>
    <t>신동숙</t>
    <phoneticPr fontId="3" type="noConversion"/>
  </si>
  <si>
    <t>이창명</t>
    <phoneticPr fontId="3" type="noConversion"/>
  </si>
  <si>
    <t>채경휘</t>
    <phoneticPr fontId="3" type="noConversion"/>
  </si>
  <si>
    <t>김길수</t>
    <phoneticPr fontId="3" type="noConversion"/>
  </si>
  <si>
    <t>정호돌</t>
    <phoneticPr fontId="3" type="noConversion"/>
  </si>
  <si>
    <t>노찬종</t>
    <phoneticPr fontId="3" type="noConversion"/>
  </si>
  <si>
    <t>주청철</t>
    <phoneticPr fontId="3" type="noConversion"/>
  </si>
  <si>
    <t>최현우</t>
    <phoneticPr fontId="3" type="noConversion"/>
  </si>
  <si>
    <t>김호식</t>
    <phoneticPr fontId="3" type="noConversion"/>
  </si>
  <si>
    <t>최영철</t>
    <phoneticPr fontId="3" type="noConversion"/>
  </si>
  <si>
    <t>황대산</t>
    <phoneticPr fontId="3" type="noConversion"/>
  </si>
  <si>
    <t>이상건</t>
    <phoneticPr fontId="3" type="noConversion"/>
  </si>
  <si>
    <t>정태호</t>
    <phoneticPr fontId="3" type="noConversion"/>
  </si>
  <si>
    <t>김하늘</t>
    <phoneticPr fontId="3" type="noConversion"/>
  </si>
  <si>
    <t>정호김</t>
    <phoneticPr fontId="3" type="noConversion"/>
  </si>
  <si>
    <t>S1234</t>
    <phoneticPr fontId="3" type="noConversion"/>
  </si>
  <si>
    <t>V1265R</t>
    <phoneticPr fontId="3" type="noConversion"/>
  </si>
  <si>
    <t>V292S</t>
    <phoneticPr fontId="3" type="noConversion"/>
  </si>
  <si>
    <t>P5861X</t>
    <phoneticPr fontId="3" type="noConversion"/>
  </si>
  <si>
    <t>D2678Q</t>
    <phoneticPr fontId="3" type="noConversion"/>
  </si>
  <si>
    <t>S2802F</t>
    <phoneticPr fontId="3" type="noConversion"/>
  </si>
  <si>
    <t>E1123V</t>
    <phoneticPr fontId="3" type="noConversion"/>
  </si>
  <si>
    <t>U3336A</t>
    <phoneticPr fontId="3" type="noConversion"/>
  </si>
  <si>
    <t>U387H</t>
    <phoneticPr fontId="3" type="noConversion"/>
  </si>
  <si>
    <t>E4274H</t>
    <phoneticPr fontId="3" type="noConversion"/>
  </si>
  <si>
    <t>E7426K</t>
    <phoneticPr fontId="3" type="noConversion"/>
  </si>
  <si>
    <t>F2589D</t>
    <phoneticPr fontId="3" type="noConversion"/>
  </si>
  <si>
    <t>F2294V</t>
    <phoneticPr fontId="3" type="noConversion"/>
  </si>
  <si>
    <t>G4980K</t>
    <phoneticPr fontId="3" type="noConversion"/>
  </si>
  <si>
    <t>G9531E</t>
    <phoneticPr fontId="3" type="noConversion"/>
  </si>
  <si>
    <t>W294S</t>
    <phoneticPr fontId="3" type="noConversion"/>
  </si>
  <si>
    <t>H5774S</t>
    <phoneticPr fontId="3" type="noConversion"/>
  </si>
  <si>
    <t>대리</t>
    <phoneticPr fontId="3" type="noConversion"/>
  </si>
  <si>
    <t>사원</t>
    <phoneticPr fontId="3" type="noConversion"/>
  </si>
  <si>
    <t>부장</t>
    <phoneticPr fontId="3" type="noConversion"/>
  </si>
  <si>
    <t>과장</t>
    <phoneticPr fontId="3" type="noConversion"/>
  </si>
  <si>
    <t>이사</t>
    <phoneticPr fontId="3" type="noConversion"/>
  </si>
  <si>
    <t>차장</t>
    <phoneticPr fontId="3" type="noConversion"/>
  </si>
  <si>
    <t>861219-1******</t>
    <phoneticPr fontId="3" type="noConversion"/>
  </si>
  <si>
    <t>871014-1******</t>
    <phoneticPr fontId="3" type="noConversion"/>
  </si>
  <si>
    <t>910119-2******</t>
    <phoneticPr fontId="3" type="noConversion"/>
  </si>
  <si>
    <t>860320-1******</t>
    <phoneticPr fontId="3" type="noConversion"/>
  </si>
  <si>
    <t>620119-1******</t>
    <phoneticPr fontId="3" type="noConversion"/>
  </si>
  <si>
    <t>860608-1*****</t>
    <phoneticPr fontId="3" type="noConversion"/>
  </si>
  <si>
    <t>740415-1*****</t>
    <phoneticPr fontId="3" type="noConversion"/>
  </si>
  <si>
    <t>650315-1*****</t>
    <phoneticPr fontId="3" type="noConversion"/>
  </si>
  <si>
    <t>670725-2*****</t>
    <phoneticPr fontId="3" type="noConversion"/>
  </si>
  <si>
    <t>681105-2*****</t>
    <phoneticPr fontId="3" type="noConversion"/>
  </si>
  <si>
    <t>701225-1*****</t>
    <phoneticPr fontId="3" type="noConversion"/>
  </si>
  <si>
    <t>660101-2*****</t>
    <phoneticPr fontId="3" type="noConversion"/>
  </si>
  <si>
    <t>730228-2*****</t>
    <phoneticPr fontId="3" type="noConversion"/>
  </si>
  <si>
    <t>761010-1*****</t>
    <phoneticPr fontId="3" type="noConversion"/>
  </si>
  <si>
    <t>740926-1*****</t>
    <phoneticPr fontId="3" type="noConversion"/>
  </si>
  <si>
    <t>750511-2*****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</si>
</sst>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&quot; 년&quot;"/>
    <numFmt numFmtId="180" formatCode="0_);[Red]\(0\)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41" fontId="5" fillId="3" borderId="2" xfId="1" applyFont="1" applyFill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176" fontId="5" fillId="3" borderId="2" xfId="1" applyNumberFormat="1" applyFont="1" applyFill="1" applyBorder="1" applyAlignment="1">
      <alignment horizontal="center"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180" fontId="0" fillId="0" borderId="0" xfId="0" applyNumberFormat="1" applyFont="1">
      <alignment vertical="center"/>
    </xf>
    <xf numFmtId="9" fontId="0" fillId="0" borderId="0" xfId="2" applyNumberFormat="1" applyFo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2C97B-5772-4AD9-A4AB-E7FB938586D5}">
  <sheetPr codeName="Sheet1"/>
  <dimension ref="A1"/>
  <sheetViews>
    <sheetView topLeftCell="A3" workbookViewId="0">
      <selection activeCell="D4" sqref="D4"/>
    </sheetView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1C921-F632-4C58-A174-98D82A434D84}">
  <sheetPr codeName="Sheet2"/>
  <dimension ref="A3:N20"/>
  <sheetViews>
    <sheetView tabSelected="1" topLeftCell="A3" workbookViewId="0">
      <selection activeCell="F6" sqref="F6"/>
    </sheetView>
  </sheetViews>
  <sheetFormatPr defaultRowHeight="16.5" x14ac:dyDescent="0.3"/>
  <cols>
    <col min="4" max="4" width="16.75" customWidth="1"/>
    <col min="5" max="5" width="14" customWidth="1"/>
    <col min="6" max="6" width="13.75" customWidth="1"/>
    <col min="7" max="7" width="19.875" customWidth="1"/>
  </cols>
  <sheetData>
    <row r="3" spans="1:14" x14ac:dyDescent="0.3">
      <c r="A3" s="1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</row>
    <row r="4" spans="1:14" x14ac:dyDescent="0.3">
      <c r="A4" t="s">
        <v>6</v>
      </c>
      <c r="B4" t="s">
        <v>23</v>
      </c>
      <c r="C4" t="s">
        <v>40</v>
      </c>
      <c r="D4" t="s">
        <v>46</v>
      </c>
      <c r="E4" s="3">
        <v>40238</v>
      </c>
      <c r="F4" s="10">
        <f ca="1">IF(G4&gt;=20,HLOOKUP(C4,$I$4:$N$10,7,FALSE),IF(G4&gt;=15,HLOOKUP(C4,$I$4:$N$10,6,FALSE),IF(G4&gt;=10,HLOOKUP(C4,$I$4:$N$10,5,FALSE),IF(G4&gt;=5,HLOOKUP(C4,$I$4:$N$10,4,FALSE),IF(G4&gt;=3,HLOOKUP(C4,$I$4:$N$10,3,FALSE),HLOOKUP(C4,$I$4:$N$10,2,FALSE))))))</f>
        <v>0.12</v>
      </c>
      <c r="G4" s="9">
        <f ca="1">YEAR(NOW())-YEAR(E4)</f>
        <v>10</v>
      </c>
      <c r="H4" s="4"/>
      <c r="I4" s="5" t="s">
        <v>41</v>
      </c>
      <c r="J4" s="5" t="s">
        <v>40</v>
      </c>
      <c r="K4" s="5" t="s">
        <v>43</v>
      </c>
      <c r="L4" s="5" t="s">
        <v>45</v>
      </c>
      <c r="M4" s="5" t="s">
        <v>42</v>
      </c>
      <c r="N4" s="5" t="s">
        <v>44</v>
      </c>
    </row>
    <row r="5" spans="1:14" x14ac:dyDescent="0.3">
      <c r="A5" t="s">
        <v>7</v>
      </c>
      <c r="B5" t="s">
        <v>24</v>
      </c>
      <c r="C5" t="s">
        <v>40</v>
      </c>
      <c r="D5" t="s">
        <v>47</v>
      </c>
      <c r="E5" s="3">
        <v>40238</v>
      </c>
      <c r="F5" s="10">
        <f t="shared" ref="F5:F20" ca="1" si="0">IF(G5&gt;=20,HLOOKUP(C5,$I$4:$N$10,7,FALSE),IF(G5&gt;=15,HLOOKUP(C5,$I$4:$N$10,6,FALSE),IF(G5&gt;=10,HLOOKUP(C5,$I$4:$N$10,5,FALSE),IF(G5&gt;=5,HLOOKUP(C5,$I$4:$N$10,4,FALSE),IF(G5&gt;=3,HLOOKUP(C5,$I$4:$N$10,3,FALSE),HLOOKUP(C5,$I$4:$N$10,2,FALSE))))))</f>
        <v>0.12</v>
      </c>
      <c r="G5" s="9">
        <f t="shared" ref="G5:G19" ca="1" si="1">YEAR(NOW())-YEAR(E5)</f>
        <v>10</v>
      </c>
      <c r="H5" s="6">
        <v>0</v>
      </c>
      <c r="I5" s="7">
        <v>0.05</v>
      </c>
      <c r="J5" s="7">
        <v>0.06</v>
      </c>
      <c r="K5" s="7">
        <v>0.08</v>
      </c>
      <c r="L5" s="7">
        <v>0.1</v>
      </c>
      <c r="M5" s="7">
        <v>0.13</v>
      </c>
      <c r="N5" s="7">
        <v>0.15</v>
      </c>
    </row>
    <row r="6" spans="1:14" x14ac:dyDescent="0.3">
      <c r="A6" t="s">
        <v>8</v>
      </c>
      <c r="B6" t="s">
        <v>25</v>
      </c>
      <c r="C6" t="s">
        <v>41</v>
      </c>
      <c r="D6" t="s">
        <v>48</v>
      </c>
      <c r="E6" s="3">
        <v>41974</v>
      </c>
      <c r="F6" s="12">
        <f t="shared" ca="1" si="0"/>
        <v>0.08</v>
      </c>
      <c r="G6" s="9">
        <f t="shared" ca="1" si="1"/>
        <v>6</v>
      </c>
      <c r="H6" s="8">
        <v>3</v>
      </c>
      <c r="I6" s="7">
        <v>0.06</v>
      </c>
      <c r="J6" s="7">
        <v>0.08</v>
      </c>
      <c r="K6" s="7">
        <v>0.09</v>
      </c>
      <c r="L6" s="7">
        <v>0.11</v>
      </c>
      <c r="M6" s="7">
        <v>0.14000000000000001</v>
      </c>
      <c r="N6" s="7">
        <v>0.15</v>
      </c>
    </row>
    <row r="7" spans="1:14" x14ac:dyDescent="0.3">
      <c r="A7" t="s">
        <v>9</v>
      </c>
      <c r="B7" t="s">
        <v>26</v>
      </c>
      <c r="C7" t="s">
        <v>40</v>
      </c>
      <c r="D7" t="s">
        <v>49</v>
      </c>
      <c r="E7" s="3">
        <v>40787</v>
      </c>
      <c r="F7" s="10">
        <f t="shared" ca="1" si="0"/>
        <v>0.1</v>
      </c>
      <c r="G7" s="9">
        <f t="shared" ca="1" si="1"/>
        <v>9</v>
      </c>
      <c r="H7" s="8">
        <v>5</v>
      </c>
      <c r="I7" s="7">
        <v>0.08</v>
      </c>
      <c r="J7" s="7">
        <v>0.1</v>
      </c>
      <c r="K7" s="7">
        <v>0.13</v>
      </c>
      <c r="L7" s="7">
        <v>0.15</v>
      </c>
      <c r="M7" s="7">
        <v>0.17</v>
      </c>
      <c r="N7" s="7">
        <v>0.19</v>
      </c>
    </row>
    <row r="8" spans="1:14" x14ac:dyDescent="0.3">
      <c r="A8" t="s">
        <v>10</v>
      </c>
      <c r="B8" t="s">
        <v>27</v>
      </c>
      <c r="C8" t="s">
        <v>40</v>
      </c>
      <c r="D8" t="s">
        <v>51</v>
      </c>
      <c r="E8" s="3">
        <v>40969</v>
      </c>
      <c r="F8" s="10">
        <f t="shared" ca="1" si="0"/>
        <v>0.1</v>
      </c>
      <c r="G8" s="9">
        <f t="shared" ca="1" si="1"/>
        <v>8</v>
      </c>
      <c r="H8" s="8">
        <v>10</v>
      </c>
      <c r="I8" s="7">
        <v>0.1</v>
      </c>
      <c r="J8" s="7">
        <v>0.12</v>
      </c>
      <c r="K8" s="7">
        <v>0.15</v>
      </c>
      <c r="L8" s="7">
        <v>0.17</v>
      </c>
      <c r="M8" s="7">
        <v>0.19</v>
      </c>
      <c r="N8" s="7">
        <v>0.2</v>
      </c>
    </row>
    <row r="9" spans="1:14" x14ac:dyDescent="0.3">
      <c r="A9" t="s">
        <v>11</v>
      </c>
      <c r="B9" t="s">
        <v>28</v>
      </c>
      <c r="C9" t="s">
        <v>42</v>
      </c>
      <c r="D9" t="s">
        <v>50</v>
      </c>
      <c r="E9" s="3">
        <v>31182</v>
      </c>
      <c r="F9" s="10">
        <f t="shared" ca="1" si="0"/>
        <v>0.25</v>
      </c>
      <c r="G9" s="9">
        <f t="shared" ca="1" si="1"/>
        <v>35</v>
      </c>
      <c r="H9" s="8">
        <v>15</v>
      </c>
      <c r="I9" s="7">
        <v>0.12</v>
      </c>
      <c r="J9" s="7">
        <v>0.14000000000000001</v>
      </c>
      <c r="K9" s="7">
        <v>0.16</v>
      </c>
      <c r="L9" s="7">
        <v>0.19</v>
      </c>
      <c r="M9" s="7">
        <v>0.2</v>
      </c>
      <c r="N9" s="7">
        <v>0.22</v>
      </c>
    </row>
    <row r="10" spans="1:14" x14ac:dyDescent="0.3">
      <c r="A10" t="s">
        <v>12</v>
      </c>
      <c r="B10" t="s">
        <v>29</v>
      </c>
      <c r="C10" t="s">
        <v>43</v>
      </c>
      <c r="D10" t="s">
        <v>52</v>
      </c>
      <c r="E10" s="3">
        <v>35674</v>
      </c>
      <c r="F10" s="10">
        <f t="shared" ca="1" si="0"/>
        <v>0.18</v>
      </c>
      <c r="G10" s="9">
        <f t="shared" ca="1" si="1"/>
        <v>23</v>
      </c>
      <c r="H10" s="8">
        <v>20</v>
      </c>
      <c r="I10" s="7">
        <v>0.15</v>
      </c>
      <c r="J10" s="7">
        <v>0.17</v>
      </c>
      <c r="K10" s="7">
        <v>0.18</v>
      </c>
      <c r="L10" s="7">
        <v>0.2</v>
      </c>
      <c r="M10" s="7">
        <v>0.25</v>
      </c>
      <c r="N10" s="7">
        <v>0.3</v>
      </c>
    </row>
    <row r="11" spans="1:14" x14ac:dyDescent="0.3">
      <c r="A11" t="s">
        <v>15</v>
      </c>
      <c r="B11" t="s">
        <v>30</v>
      </c>
      <c r="C11" t="s">
        <v>44</v>
      </c>
      <c r="E11" s="3">
        <v>34790</v>
      </c>
      <c r="F11" s="10">
        <f t="shared" ca="1" si="0"/>
        <v>0.3</v>
      </c>
      <c r="G11" s="9">
        <f t="shared" ca="1" si="1"/>
        <v>25</v>
      </c>
    </row>
    <row r="12" spans="1:14" x14ac:dyDescent="0.3">
      <c r="A12" t="s">
        <v>13</v>
      </c>
      <c r="B12" t="s">
        <v>31</v>
      </c>
      <c r="C12" t="s">
        <v>42</v>
      </c>
      <c r="D12" t="s">
        <v>53</v>
      </c>
      <c r="E12" s="3">
        <v>36404</v>
      </c>
      <c r="F12" s="10">
        <f t="shared" ca="1" si="0"/>
        <v>0.25</v>
      </c>
      <c r="G12" s="9">
        <f t="shared" ca="1" si="1"/>
        <v>21</v>
      </c>
    </row>
    <row r="13" spans="1:14" x14ac:dyDescent="0.3">
      <c r="A13" t="s">
        <v>14</v>
      </c>
      <c r="B13" t="s">
        <v>32</v>
      </c>
      <c r="C13" t="s">
        <v>45</v>
      </c>
      <c r="D13" t="s">
        <v>54</v>
      </c>
      <c r="E13" s="3">
        <v>36220</v>
      </c>
      <c r="F13" s="10">
        <f t="shared" ca="1" si="0"/>
        <v>0.2</v>
      </c>
      <c r="G13" s="9">
        <f t="shared" ca="1" si="1"/>
        <v>21</v>
      </c>
    </row>
    <row r="14" spans="1:14" x14ac:dyDescent="0.3">
      <c r="A14" t="s">
        <v>16</v>
      </c>
      <c r="B14" t="s">
        <v>33</v>
      </c>
      <c r="C14" t="s">
        <v>45</v>
      </c>
      <c r="D14" t="s">
        <v>55</v>
      </c>
      <c r="E14" s="3">
        <v>35490</v>
      </c>
      <c r="F14" s="10">
        <f t="shared" ca="1" si="0"/>
        <v>0.2</v>
      </c>
      <c r="G14" s="9">
        <f t="shared" ca="1" si="1"/>
        <v>23</v>
      </c>
    </row>
    <row r="15" spans="1:14" x14ac:dyDescent="0.3">
      <c r="A15" t="s">
        <v>17</v>
      </c>
      <c r="B15" t="s">
        <v>34</v>
      </c>
      <c r="C15" t="s">
        <v>42</v>
      </c>
      <c r="D15" t="s">
        <v>56</v>
      </c>
      <c r="E15" s="3">
        <v>36586</v>
      </c>
      <c r="F15" s="10">
        <f t="shared" ca="1" si="0"/>
        <v>0.25</v>
      </c>
      <c r="G15" s="9">
        <f t="shared" ca="1" si="1"/>
        <v>20</v>
      </c>
    </row>
    <row r="16" spans="1:14" x14ac:dyDescent="0.3">
      <c r="A16" t="s">
        <v>18</v>
      </c>
      <c r="B16" t="s">
        <v>35</v>
      </c>
      <c r="C16" t="s">
        <v>45</v>
      </c>
      <c r="D16" t="s">
        <v>57</v>
      </c>
      <c r="E16" s="3">
        <v>34029</v>
      </c>
      <c r="F16" s="10">
        <f t="shared" ca="1" si="0"/>
        <v>0.2</v>
      </c>
      <c r="G16" s="9">
        <f t="shared" ca="1" si="1"/>
        <v>27</v>
      </c>
    </row>
    <row r="17" spans="1:7" x14ac:dyDescent="0.3">
      <c r="A17" t="s">
        <v>19</v>
      </c>
      <c r="B17" t="s">
        <v>36</v>
      </c>
      <c r="C17" t="s">
        <v>43</v>
      </c>
      <c r="D17" t="s">
        <v>58</v>
      </c>
      <c r="E17" s="3">
        <v>35309</v>
      </c>
      <c r="F17" s="10">
        <f t="shared" ca="1" si="0"/>
        <v>0.18</v>
      </c>
      <c r="G17" s="9">
        <f t="shared" ca="1" si="1"/>
        <v>24</v>
      </c>
    </row>
    <row r="18" spans="1:7" x14ac:dyDescent="0.3">
      <c r="A18" t="s">
        <v>20</v>
      </c>
      <c r="B18" t="s">
        <v>37</v>
      </c>
      <c r="C18" t="s">
        <v>43</v>
      </c>
      <c r="D18" t="s">
        <v>59</v>
      </c>
      <c r="E18" s="3">
        <v>36404</v>
      </c>
      <c r="F18" s="10">
        <f t="shared" ca="1" si="0"/>
        <v>0.18</v>
      </c>
      <c r="G18" s="9">
        <f t="shared" ca="1" si="1"/>
        <v>21</v>
      </c>
    </row>
    <row r="19" spans="1:7" x14ac:dyDescent="0.3">
      <c r="A19" t="s">
        <v>21</v>
      </c>
      <c r="B19" t="s">
        <v>38</v>
      </c>
      <c r="C19" t="s">
        <v>43</v>
      </c>
      <c r="D19" t="s">
        <v>60</v>
      </c>
      <c r="E19" s="3">
        <v>36586</v>
      </c>
      <c r="F19" s="10">
        <f t="shared" ca="1" si="0"/>
        <v>0.15</v>
      </c>
      <c r="G19" s="11">
        <f ca="1">YEAR(NOW())-YEAR(E4)</f>
        <v>10</v>
      </c>
    </row>
    <row r="20" spans="1:7" x14ac:dyDescent="0.3">
      <c r="A20" t="s">
        <v>22</v>
      </c>
      <c r="B20" t="s">
        <v>39</v>
      </c>
      <c r="C20" t="s">
        <v>43</v>
      </c>
      <c r="D20" t="s">
        <v>61</v>
      </c>
      <c r="E20" s="3">
        <v>36951</v>
      </c>
      <c r="F20" s="10">
        <f t="shared" ca="1" si="0"/>
        <v>0.16</v>
      </c>
      <c r="G20" s="9">
        <f ca="1">YEAR(NOW())-YEAR(E20)</f>
        <v>19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AF3CF-66EE-491D-B05F-FB37F2BF8BCF}">
  <sheetPr codeName="Sheet3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3B634-78AA-41C2-9677-B0A05F366972}">
  <sheetPr codeName="Sheet4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C796C-4142-40C9-AE42-C64DCE5038A0}">
  <sheetPr codeName="Sheet5"/>
  <dimension ref="A1"/>
  <sheetViews>
    <sheetView workbookViewId="0">
      <selection activeCell="E11" sqref="E11"/>
    </sheetView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19AC-FF78-47F6-96DB-9F621FE609A0}">
  <sheetPr codeName="Sheet6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Main</vt:lpstr>
      <vt:lpstr>영업사원</vt:lpstr>
      <vt:lpstr>고객명단</vt:lpstr>
      <vt:lpstr>보험계약현황</vt:lpstr>
      <vt:lpstr>보험증</vt:lpstr>
      <vt:lpstr>계약현황차트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2020-04-19T07:28:59Z</dcterms:created>
  <dcterms:modified xsi:type="dcterms:W3CDTF">2020-04-19T14:43:37Z</dcterms:modified>
</cp:coreProperties>
</file>