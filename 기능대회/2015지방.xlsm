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50408EDE-6BB3-4597-AD8A-707DFD304E32}" xr6:coauthVersionLast="45" xr6:coauthVersionMax="45" xr10:uidLastSave="{00000000-0000-0000-0000-000000000000}"/>
  <bookViews>
    <workbookView xWindow="28680" yWindow="-60" windowWidth="29040" windowHeight="15840" activeTab="3" xr2:uid="{B43D9E90-2B42-4437-AFDE-CABADD9786AD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G20" i="2" l="1"/>
  <c r="F20" i="2" s="1"/>
  <c r="G19" i="2"/>
  <c r="F19" i="2" s="1"/>
  <c r="G4" i="2"/>
  <c r="F4" i="2" s="1"/>
  <c r="G18" i="2"/>
  <c r="F18" i="2" s="1"/>
  <c r="G17" i="2"/>
  <c r="F17" i="2" s="1"/>
  <c r="G16" i="2"/>
  <c r="F16" i="2" s="1"/>
  <c r="G15" i="2"/>
  <c r="F15" i="2" s="1"/>
  <c r="G14" i="2"/>
  <c r="F14" i="2" s="1"/>
  <c r="G13" i="2"/>
  <c r="F13" i="2" s="1"/>
  <c r="G12" i="2"/>
  <c r="F12" i="2" s="1"/>
  <c r="G11" i="2"/>
  <c r="F11" i="2" s="1"/>
  <c r="G10" i="2"/>
  <c r="F10" i="2" s="1"/>
  <c r="G9" i="2"/>
  <c r="F9" i="2" s="1"/>
  <c r="G8" i="2"/>
  <c r="F8" i="2" s="1"/>
  <c r="G7" i="2"/>
  <c r="F7" i="2" s="1"/>
  <c r="G6" i="2"/>
  <c r="F6" i="2" s="1"/>
  <c r="G5" i="2"/>
  <c r="F5" i="2" s="1"/>
  <c r="G5" i="4" a="1"/>
  <c r="G9" i="4" a="1"/>
  <c r="G13" i="4" a="1"/>
  <c r="G17" i="4" a="1"/>
  <c r="G21" i="4" a="1"/>
  <c r="G25" i="4" a="1"/>
  <c r="G29" i="4" a="1"/>
  <c r="G6" i="4" a="1"/>
  <c r="G10" i="4" a="1"/>
  <c r="G14" i="4" a="1"/>
  <c r="G18" i="4" a="1"/>
  <c r="G22" i="4" a="1"/>
  <c r="G26" i="4" a="1"/>
  <c r="G7" i="4" a="1"/>
  <c r="G11" i="4" a="1"/>
  <c r="G15" i="4" a="1"/>
  <c r="G19" i="4" a="1"/>
  <c r="G23" i="4" a="1"/>
  <c r="G27" i="4" a="1"/>
  <c r="G4" i="4" a="1"/>
  <c r="G8" i="4" a="1"/>
  <c r="G12" i="4" a="1"/>
  <c r="G16" i="4" a="1"/>
  <c r="G20" i="4" a="1"/>
  <c r="G24" i="4" a="1"/>
  <c r="G28" i="4" a="1"/>
  <c r="G28" i="4" l="1"/>
  <c r="G24" i="4"/>
  <c r="G20" i="4"/>
  <c r="G16" i="4"/>
  <c r="G12" i="4"/>
  <c r="G8" i="4"/>
  <c r="G4" i="4"/>
  <c r="G27" i="4"/>
  <c r="G23" i="4"/>
  <c r="G19" i="4"/>
  <c r="G15" i="4"/>
  <c r="G11" i="4"/>
  <c r="G7" i="4"/>
  <c r="G26" i="4"/>
  <c r="G22" i="4"/>
  <c r="G18" i="4"/>
  <c r="G14" i="4"/>
  <c r="G10" i="4"/>
  <c r="G6" i="4"/>
  <c r="G29" i="4"/>
  <c r="G25" i="4"/>
  <c r="G21" i="4"/>
  <c r="G17" i="4"/>
  <c r="G13" i="4"/>
  <c r="G9" i="4"/>
  <c r="G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<sst xmlns="http://schemas.openxmlformats.org/spreadsheetml/2006/main" count="165" uniqueCount="89">
  <si>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</si>
  <si>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</si>
  <si>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</si>
  <si>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</si>
  <si>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</si>
  <si>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수당비율</t>
    <phoneticPr fontId="3" type="noConversion"/>
  </si>
  <si>
    <t>정준석</t>
    <phoneticPr fontId="3" type="noConversion"/>
  </si>
  <si>
    <t>강장환</t>
    <phoneticPr fontId="3" type="noConversion"/>
  </si>
  <si>
    <t>신동숙</t>
    <phoneticPr fontId="3" type="noConversion"/>
  </si>
  <si>
    <t>이창명</t>
    <phoneticPr fontId="3" type="noConversion"/>
  </si>
  <si>
    <t>채경휘</t>
    <phoneticPr fontId="3" type="noConversion"/>
  </si>
  <si>
    <t>김길수</t>
    <phoneticPr fontId="3" type="noConversion"/>
  </si>
  <si>
    <t>정호돌</t>
    <phoneticPr fontId="3" type="noConversion"/>
  </si>
  <si>
    <t>노찬종</t>
    <phoneticPr fontId="3" type="noConversion"/>
  </si>
  <si>
    <t>주청철</t>
    <phoneticPr fontId="3" type="noConversion"/>
  </si>
  <si>
    <t>최현우</t>
    <phoneticPr fontId="3" type="noConversion"/>
  </si>
  <si>
    <t>김호식</t>
    <phoneticPr fontId="3" type="noConversion"/>
  </si>
  <si>
    <t>최영철</t>
    <phoneticPr fontId="3" type="noConversion"/>
  </si>
  <si>
    <t>황대산</t>
    <phoneticPr fontId="3" type="noConversion"/>
  </si>
  <si>
    <t>이상건</t>
    <phoneticPr fontId="3" type="noConversion"/>
  </si>
  <si>
    <t>정태호</t>
    <phoneticPr fontId="3" type="noConversion"/>
  </si>
  <si>
    <t>김하늘</t>
    <phoneticPr fontId="3" type="noConversion"/>
  </si>
  <si>
    <t>정호김</t>
    <phoneticPr fontId="3" type="noConversion"/>
  </si>
  <si>
    <t>S1234</t>
    <phoneticPr fontId="3" type="noConversion"/>
  </si>
  <si>
    <t>V1265R</t>
    <phoneticPr fontId="3" type="noConversion"/>
  </si>
  <si>
    <t>V292S</t>
    <phoneticPr fontId="3" type="noConversion"/>
  </si>
  <si>
    <t>P5861X</t>
    <phoneticPr fontId="3" type="noConversion"/>
  </si>
  <si>
    <t>D2678Q</t>
    <phoneticPr fontId="3" type="noConversion"/>
  </si>
  <si>
    <t>S2802F</t>
    <phoneticPr fontId="3" type="noConversion"/>
  </si>
  <si>
    <t>E1123V</t>
    <phoneticPr fontId="3" type="noConversion"/>
  </si>
  <si>
    <t>U3336A</t>
    <phoneticPr fontId="3" type="noConversion"/>
  </si>
  <si>
    <t>U387H</t>
    <phoneticPr fontId="3" type="noConversion"/>
  </si>
  <si>
    <t>E4274H</t>
    <phoneticPr fontId="3" type="noConversion"/>
  </si>
  <si>
    <t>E7426K</t>
    <phoneticPr fontId="3" type="noConversion"/>
  </si>
  <si>
    <t>F2589D</t>
    <phoneticPr fontId="3" type="noConversion"/>
  </si>
  <si>
    <t>F2294V</t>
    <phoneticPr fontId="3" type="noConversion"/>
  </si>
  <si>
    <t>G4980K</t>
    <phoneticPr fontId="3" type="noConversion"/>
  </si>
  <si>
    <t>G9531E</t>
    <phoneticPr fontId="3" type="noConversion"/>
  </si>
  <si>
    <t>W294S</t>
    <phoneticPr fontId="3" type="noConversion"/>
  </si>
  <si>
    <t>H5774S</t>
    <phoneticPr fontId="3" type="noConversion"/>
  </si>
  <si>
    <t>대리</t>
    <phoneticPr fontId="3" type="noConversion"/>
  </si>
  <si>
    <t>사원</t>
    <phoneticPr fontId="3" type="noConversion"/>
  </si>
  <si>
    <t>부장</t>
    <phoneticPr fontId="3" type="noConversion"/>
  </si>
  <si>
    <t>과장</t>
    <phoneticPr fontId="3" type="noConversion"/>
  </si>
  <si>
    <t>이사</t>
    <phoneticPr fontId="3" type="noConversion"/>
  </si>
  <si>
    <t>차장</t>
    <phoneticPr fontId="3" type="noConversion"/>
  </si>
  <si>
    <t>861219-1******</t>
    <phoneticPr fontId="3" type="noConversion"/>
  </si>
  <si>
    <t>871014-1******</t>
    <phoneticPr fontId="3" type="noConversion"/>
  </si>
  <si>
    <t>910119-2******</t>
    <phoneticPr fontId="3" type="noConversion"/>
  </si>
  <si>
    <t>860320-1******</t>
    <phoneticPr fontId="3" type="noConversion"/>
  </si>
  <si>
    <t>620119-1******</t>
    <phoneticPr fontId="3" type="noConversion"/>
  </si>
  <si>
    <t>860608-1*****</t>
    <phoneticPr fontId="3" type="noConversion"/>
  </si>
  <si>
    <t>740415-1*****</t>
    <phoneticPr fontId="3" type="noConversion"/>
  </si>
  <si>
    <t>650315-1*****</t>
    <phoneticPr fontId="3" type="noConversion"/>
  </si>
  <si>
    <t>670725-2*****</t>
    <phoneticPr fontId="3" type="noConversion"/>
  </si>
  <si>
    <t>681105-2*****</t>
    <phoneticPr fontId="3" type="noConversion"/>
  </si>
  <si>
    <t>701225-1*****</t>
    <phoneticPr fontId="3" type="noConversion"/>
  </si>
  <si>
    <t>660101-2*****</t>
    <phoneticPr fontId="3" type="noConversion"/>
  </si>
  <si>
    <t>730228-2*****</t>
    <phoneticPr fontId="3" type="noConversion"/>
  </si>
  <si>
    <t>761010-1*****</t>
    <phoneticPr fontId="3" type="noConversion"/>
  </si>
  <si>
    <t>740926-1*****</t>
    <phoneticPr fontId="3" type="noConversion"/>
  </si>
  <si>
    <t>750511-2*****</t>
    <phoneticPr fontId="3" type="noConversion"/>
  </si>
  <si>
    <t>고객번호</t>
    <phoneticPr fontId="3" type="noConversion"/>
  </si>
  <si>
    <t>보험상품</t>
    <phoneticPr fontId="3" type="noConversion"/>
  </si>
  <si>
    <t>가입금액</t>
    <phoneticPr fontId="3" type="noConversion"/>
  </si>
  <si>
    <t>가입일</t>
    <phoneticPr fontId="3" type="noConversion"/>
  </si>
  <si>
    <t>담당자</t>
    <phoneticPr fontId="3" type="noConversion"/>
  </si>
  <si>
    <t>S131978</t>
    <phoneticPr fontId="3" type="noConversion"/>
  </si>
  <si>
    <t>S131980</t>
    <phoneticPr fontId="3" type="noConversion"/>
  </si>
  <si>
    <t>S131981</t>
    <phoneticPr fontId="3" type="noConversion"/>
  </si>
  <si>
    <t>S131986</t>
    <phoneticPr fontId="3" type="noConversion"/>
  </si>
  <si>
    <t>S131989</t>
    <phoneticPr fontId="3" type="noConversion"/>
  </si>
  <si>
    <t>S131997</t>
    <phoneticPr fontId="3" type="noConversion"/>
  </si>
  <si>
    <t>S131999</t>
    <phoneticPr fontId="3" type="noConversion"/>
  </si>
  <si>
    <t>S132001</t>
    <phoneticPr fontId="3" type="noConversion"/>
  </si>
  <si>
    <t>S132006</t>
    <phoneticPr fontId="3" type="noConversion"/>
  </si>
  <si>
    <t>S132008</t>
    <phoneticPr fontId="3" type="noConversion"/>
  </si>
  <si>
    <t>S141988</t>
    <phoneticPr fontId="3" type="noConversion"/>
  </si>
  <si>
    <t>종신보험</t>
    <phoneticPr fontId="3" type="noConversion"/>
  </si>
  <si>
    <t>변액연금보험</t>
    <phoneticPr fontId="3" type="noConversion"/>
  </si>
  <si>
    <t>연금보험</t>
    <phoneticPr fontId="3" type="noConversion"/>
  </si>
  <si>
    <t>무배당암보험</t>
    <phoneticPr fontId="3" type="noConversion"/>
  </si>
  <si>
    <t>외료실비보험</t>
    <phoneticPr fontId="3" type="noConversion"/>
  </si>
  <si>
    <t>의료실비보험</t>
    <phoneticPr fontId="3" type="noConversion"/>
  </si>
  <si>
    <t>여성건강보험</t>
    <phoneticPr fontId="3" type="noConversion"/>
  </si>
  <si>
    <t>주청절</t>
    <phoneticPr fontId="3" type="noConversion"/>
  </si>
  <si>
    <t>납입보험료</t>
    <phoneticPr fontId="3" type="noConversion"/>
  </si>
  <si>
    <t>월보험료</t>
    <phoneticPr fontId="3" type="noConversion"/>
  </si>
  <si>
    <t>성별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</si>
</sst>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&quot; 년&quot;"/>
    <numFmt numFmtId="177" formatCode="0_);[Red]\(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6" fontId="5" fillId="3" borderId="2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9" fontId="0" fillId="0" borderId="0" xfId="2" applyFont="1">
      <alignment vertical="center"/>
    </xf>
    <xf numFmtId="177" fontId="0" fillId="0" borderId="0" xfId="0" applyNumberFormat="1" applyFont="1">
      <alignment vertical="center"/>
    </xf>
    <xf numFmtId="9" fontId="0" fillId="0" borderId="0" xfId="2" applyNumberFormat="1" applyFont="1">
      <alignment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</cellXfs>
  <cellStyles count="3">
    <cellStyle name="백분율" xfId="2" builtinId="5"/>
    <cellStyle name="쉼표 [0]" xfId="1" builtinId="6"/>
    <cellStyle name="표준" xfId="0" builtinId="0"/>
  </cellStyles>
  <dxfs count="13"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fill>
        <patternFill>
          <bgColor rgb="FFE2B0CD"/>
        </patternFill>
      </fill>
    </dxf>
  </dxfs>
  <tableStyles count="0" defaultTableStyle="TableStyleMedium2" defaultPivotStyle="PivotStyleLight16"/>
  <colors>
    <mruColors>
      <color rgb="FFE2B0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2C97B-5772-4AD9-A4AB-E7FB938586D5}">
  <sheetPr codeName="Sheet1"/>
  <dimension ref="A1"/>
  <sheetViews>
    <sheetView topLeftCell="A3" workbookViewId="0">
      <selection activeCell="D4" sqref="D4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C921-F632-4C58-A174-98D82A434D84}">
  <sheetPr codeName="Sheet2"/>
  <dimension ref="A3:N20"/>
  <sheetViews>
    <sheetView topLeftCell="A3" workbookViewId="0">
      <selection activeCell="D28" sqref="D28"/>
    </sheetView>
  </sheetViews>
  <sheetFormatPr defaultRowHeight="16.5" x14ac:dyDescent="0.3"/>
  <cols>
    <col min="4" max="4" width="16.75" customWidth="1"/>
    <col min="5" max="5" width="14" customWidth="1"/>
    <col min="6" max="6" width="13.75" customWidth="1"/>
    <col min="7" max="7" width="19.875" customWidth="1"/>
  </cols>
  <sheetData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14" x14ac:dyDescent="0.3">
      <c r="A4" t="s">
        <v>6</v>
      </c>
      <c r="B4" t="s">
        <v>23</v>
      </c>
      <c r="C4" t="s">
        <v>40</v>
      </c>
      <c r="D4" t="s">
        <v>46</v>
      </c>
      <c r="E4" s="3">
        <v>40238</v>
      </c>
      <c r="F4" s="10">
        <f ca="1">IF(G4&gt;=20,HLOOKUP(C4,$I$4:$N$10,7,FALSE),IF(G4&gt;=15,HLOOKUP(C4,$I$4:$N$10,6,FALSE),IF(G4&gt;=10,HLOOKUP(C4,$I$4:$N$10,5,FALSE),IF(G4&gt;=5,HLOOKUP(C4,$I$4:$N$10,4,FALSE),IF(G4&gt;=3,HLOOKUP(C4,$I$4:$N$10,3,FALSE),HLOOKUP(C4,$I$4:$N$10,2,FALSE))))))</f>
        <v>0.12</v>
      </c>
      <c r="G4" s="9">
        <f ca="1">YEAR(NOW())-YEAR(E4)</f>
        <v>10</v>
      </c>
      <c r="H4" s="4"/>
      <c r="I4" s="5" t="s">
        <v>41</v>
      </c>
      <c r="J4" s="5" t="s">
        <v>40</v>
      </c>
      <c r="K4" s="5" t="s">
        <v>43</v>
      </c>
      <c r="L4" s="5" t="s">
        <v>45</v>
      </c>
      <c r="M4" s="5" t="s">
        <v>42</v>
      </c>
      <c r="N4" s="5" t="s">
        <v>44</v>
      </c>
    </row>
    <row r="5" spans="1:14" x14ac:dyDescent="0.3">
      <c r="A5" t="s">
        <v>7</v>
      </c>
      <c r="B5" t="s">
        <v>24</v>
      </c>
      <c r="C5" t="s">
        <v>40</v>
      </c>
      <c r="D5" t="s">
        <v>47</v>
      </c>
      <c r="E5" s="3">
        <v>40238</v>
      </c>
      <c r="F5" s="10">
        <f t="shared" ref="F5:F20" ca="1" si="0">IF(G5&gt;=20,HLOOKUP(C5,$I$4:$N$10,7,FALSE),IF(G5&gt;=15,HLOOKUP(C5,$I$4:$N$10,6,FALSE),IF(G5&gt;=10,HLOOKUP(C5,$I$4:$N$10,5,FALSE),IF(G5&gt;=5,HLOOKUP(C5,$I$4:$N$10,4,FALSE),IF(G5&gt;=3,HLOOKUP(C5,$I$4:$N$10,3,FALSE),HLOOKUP(C5,$I$4:$N$10,2,FALSE))))))</f>
        <v>0.12</v>
      </c>
      <c r="G5" s="9">
        <f t="shared" ref="G5:G18" ca="1" si="1">YEAR(NOW())-YEAR(E5)</f>
        <v>10</v>
      </c>
      <c r="H5" s="6">
        <v>0</v>
      </c>
      <c r="I5" s="7">
        <v>0.05</v>
      </c>
      <c r="J5" s="7">
        <v>0.06</v>
      </c>
      <c r="K5" s="7">
        <v>0.08</v>
      </c>
      <c r="L5" s="7">
        <v>0.1</v>
      </c>
      <c r="M5" s="7">
        <v>0.13</v>
      </c>
      <c r="N5" s="7">
        <v>0.15</v>
      </c>
    </row>
    <row r="6" spans="1:14" x14ac:dyDescent="0.3">
      <c r="A6" t="s">
        <v>8</v>
      </c>
      <c r="B6" t="s">
        <v>25</v>
      </c>
      <c r="C6" t="s">
        <v>41</v>
      </c>
      <c r="D6" t="s">
        <v>48</v>
      </c>
      <c r="E6" s="3">
        <v>41974</v>
      </c>
      <c r="F6" s="12">
        <f t="shared" ca="1" si="0"/>
        <v>0.08</v>
      </c>
      <c r="G6" s="9">
        <f t="shared" ca="1" si="1"/>
        <v>6</v>
      </c>
      <c r="H6" s="8">
        <v>3</v>
      </c>
      <c r="I6" s="7">
        <v>0.06</v>
      </c>
      <c r="J6" s="7">
        <v>0.08</v>
      </c>
      <c r="K6" s="7">
        <v>0.09</v>
      </c>
      <c r="L6" s="7">
        <v>0.11</v>
      </c>
      <c r="M6" s="7">
        <v>0.14000000000000001</v>
      </c>
      <c r="N6" s="7">
        <v>0.15</v>
      </c>
    </row>
    <row r="7" spans="1:14" x14ac:dyDescent="0.3">
      <c r="A7" t="s">
        <v>9</v>
      </c>
      <c r="B7" t="s">
        <v>26</v>
      </c>
      <c r="C7" t="s">
        <v>40</v>
      </c>
      <c r="D7" t="s">
        <v>49</v>
      </c>
      <c r="E7" s="3">
        <v>40787</v>
      </c>
      <c r="F7" s="10">
        <f t="shared" ca="1" si="0"/>
        <v>0.1</v>
      </c>
      <c r="G7" s="9">
        <f t="shared" ca="1" si="1"/>
        <v>9</v>
      </c>
      <c r="H7" s="8">
        <v>5</v>
      </c>
      <c r="I7" s="7">
        <v>0.08</v>
      </c>
      <c r="J7" s="7">
        <v>0.1</v>
      </c>
      <c r="K7" s="7">
        <v>0.13</v>
      </c>
      <c r="L7" s="7">
        <v>0.15</v>
      </c>
      <c r="M7" s="7">
        <v>0.17</v>
      </c>
      <c r="N7" s="7">
        <v>0.19</v>
      </c>
    </row>
    <row r="8" spans="1:14" x14ac:dyDescent="0.3">
      <c r="A8" t="s">
        <v>10</v>
      </c>
      <c r="B8" t="s">
        <v>27</v>
      </c>
      <c r="C8" t="s">
        <v>40</v>
      </c>
      <c r="D8" t="s">
        <v>51</v>
      </c>
      <c r="E8" s="3">
        <v>40969</v>
      </c>
      <c r="F8" s="10">
        <f t="shared" ca="1" si="0"/>
        <v>0.1</v>
      </c>
      <c r="G8" s="9">
        <f t="shared" ca="1" si="1"/>
        <v>8</v>
      </c>
      <c r="H8" s="8">
        <v>10</v>
      </c>
      <c r="I8" s="7">
        <v>0.1</v>
      </c>
      <c r="J8" s="7">
        <v>0.12</v>
      </c>
      <c r="K8" s="7">
        <v>0.15</v>
      </c>
      <c r="L8" s="7">
        <v>0.17</v>
      </c>
      <c r="M8" s="7">
        <v>0.19</v>
      </c>
      <c r="N8" s="7">
        <v>0.2</v>
      </c>
    </row>
    <row r="9" spans="1:14" x14ac:dyDescent="0.3">
      <c r="A9" t="s">
        <v>11</v>
      </c>
      <c r="B9" t="s">
        <v>28</v>
      </c>
      <c r="C9" t="s">
        <v>42</v>
      </c>
      <c r="D9" t="s">
        <v>50</v>
      </c>
      <c r="E9" s="3">
        <v>31182</v>
      </c>
      <c r="F9" s="10">
        <f t="shared" ca="1" si="0"/>
        <v>0.25</v>
      </c>
      <c r="G9" s="9">
        <f t="shared" ca="1" si="1"/>
        <v>35</v>
      </c>
      <c r="H9" s="8">
        <v>15</v>
      </c>
      <c r="I9" s="7">
        <v>0.12</v>
      </c>
      <c r="J9" s="7">
        <v>0.14000000000000001</v>
      </c>
      <c r="K9" s="7">
        <v>0.16</v>
      </c>
      <c r="L9" s="7">
        <v>0.19</v>
      </c>
      <c r="M9" s="7">
        <v>0.2</v>
      </c>
      <c r="N9" s="7">
        <v>0.22</v>
      </c>
    </row>
    <row r="10" spans="1:14" x14ac:dyDescent="0.3">
      <c r="A10" t="s">
        <v>12</v>
      </c>
      <c r="B10" t="s">
        <v>29</v>
      </c>
      <c r="C10" t="s">
        <v>43</v>
      </c>
      <c r="D10" t="s">
        <v>52</v>
      </c>
      <c r="E10" s="3">
        <v>35674</v>
      </c>
      <c r="F10" s="10">
        <f t="shared" ca="1" si="0"/>
        <v>0.18</v>
      </c>
      <c r="G10" s="9">
        <f t="shared" ca="1" si="1"/>
        <v>23</v>
      </c>
      <c r="H10" s="8">
        <v>20</v>
      </c>
      <c r="I10" s="7">
        <v>0.15</v>
      </c>
      <c r="J10" s="7">
        <v>0.17</v>
      </c>
      <c r="K10" s="7">
        <v>0.18</v>
      </c>
      <c r="L10" s="7">
        <v>0.2</v>
      </c>
      <c r="M10" s="7">
        <v>0.25</v>
      </c>
      <c r="N10" s="7">
        <v>0.3</v>
      </c>
    </row>
    <row r="11" spans="1:14" x14ac:dyDescent="0.3">
      <c r="A11" t="s">
        <v>15</v>
      </c>
      <c r="B11" t="s">
        <v>30</v>
      </c>
      <c r="C11" t="s">
        <v>44</v>
      </c>
      <c r="E11" s="3">
        <v>34790</v>
      </c>
      <c r="F11" s="10">
        <f t="shared" ca="1" si="0"/>
        <v>0.3</v>
      </c>
      <c r="G11" s="9">
        <f t="shared" ca="1" si="1"/>
        <v>25</v>
      </c>
    </row>
    <row r="12" spans="1:14" x14ac:dyDescent="0.3">
      <c r="A12" t="s">
        <v>13</v>
      </c>
      <c r="B12" t="s">
        <v>31</v>
      </c>
      <c r="C12" t="s">
        <v>42</v>
      </c>
      <c r="D12" t="s">
        <v>53</v>
      </c>
      <c r="E12" s="3">
        <v>36404</v>
      </c>
      <c r="F12" s="10">
        <f t="shared" ca="1" si="0"/>
        <v>0.25</v>
      </c>
      <c r="G12" s="9">
        <f t="shared" ca="1" si="1"/>
        <v>21</v>
      </c>
    </row>
    <row r="13" spans="1:14" x14ac:dyDescent="0.3">
      <c r="A13" t="s">
        <v>14</v>
      </c>
      <c r="B13" t="s">
        <v>32</v>
      </c>
      <c r="C13" t="s">
        <v>45</v>
      </c>
      <c r="D13" t="s">
        <v>54</v>
      </c>
      <c r="E13" s="3">
        <v>36220</v>
      </c>
      <c r="F13" s="10">
        <f t="shared" ca="1" si="0"/>
        <v>0.2</v>
      </c>
      <c r="G13" s="9">
        <f t="shared" ca="1" si="1"/>
        <v>21</v>
      </c>
    </row>
    <row r="14" spans="1:14" x14ac:dyDescent="0.3">
      <c r="A14" t="s">
        <v>16</v>
      </c>
      <c r="B14" t="s">
        <v>33</v>
      </c>
      <c r="C14" t="s">
        <v>45</v>
      </c>
      <c r="D14" t="s">
        <v>55</v>
      </c>
      <c r="E14" s="3">
        <v>35490</v>
      </c>
      <c r="F14" s="10">
        <f t="shared" ca="1" si="0"/>
        <v>0.2</v>
      </c>
      <c r="G14" s="9">
        <f t="shared" ca="1" si="1"/>
        <v>23</v>
      </c>
    </row>
    <row r="15" spans="1:14" x14ac:dyDescent="0.3">
      <c r="A15" t="s">
        <v>17</v>
      </c>
      <c r="B15" t="s">
        <v>34</v>
      </c>
      <c r="C15" t="s">
        <v>42</v>
      </c>
      <c r="D15" t="s">
        <v>56</v>
      </c>
      <c r="E15" s="3">
        <v>36586</v>
      </c>
      <c r="F15" s="10">
        <f t="shared" ca="1" si="0"/>
        <v>0.25</v>
      </c>
      <c r="G15" s="9">
        <f t="shared" ca="1" si="1"/>
        <v>20</v>
      </c>
    </row>
    <row r="16" spans="1:14" x14ac:dyDescent="0.3">
      <c r="A16" t="s">
        <v>18</v>
      </c>
      <c r="B16" t="s">
        <v>35</v>
      </c>
      <c r="C16" t="s">
        <v>45</v>
      </c>
      <c r="D16" t="s">
        <v>57</v>
      </c>
      <c r="E16" s="3">
        <v>34029</v>
      </c>
      <c r="F16" s="10">
        <f t="shared" ca="1" si="0"/>
        <v>0.2</v>
      </c>
      <c r="G16" s="9">
        <f t="shared" ca="1" si="1"/>
        <v>27</v>
      </c>
    </row>
    <row r="17" spans="1:7" x14ac:dyDescent="0.3">
      <c r="A17" t="s">
        <v>19</v>
      </c>
      <c r="B17" t="s">
        <v>36</v>
      </c>
      <c r="C17" t="s">
        <v>43</v>
      </c>
      <c r="D17" t="s">
        <v>58</v>
      </c>
      <c r="E17" s="3">
        <v>35309</v>
      </c>
      <c r="F17" s="10">
        <f t="shared" ca="1" si="0"/>
        <v>0.18</v>
      </c>
      <c r="G17" s="9">
        <f t="shared" ca="1" si="1"/>
        <v>24</v>
      </c>
    </row>
    <row r="18" spans="1:7" x14ac:dyDescent="0.3">
      <c r="A18" t="s">
        <v>20</v>
      </c>
      <c r="B18" t="s">
        <v>37</v>
      </c>
      <c r="C18" t="s">
        <v>43</v>
      </c>
      <c r="D18" t="s">
        <v>59</v>
      </c>
      <c r="E18" s="3">
        <v>36404</v>
      </c>
      <c r="F18" s="10">
        <f t="shared" ca="1" si="0"/>
        <v>0.18</v>
      </c>
      <c r="G18" s="9">
        <f t="shared" ca="1" si="1"/>
        <v>21</v>
      </c>
    </row>
    <row r="19" spans="1:7" x14ac:dyDescent="0.3">
      <c r="A19" t="s">
        <v>21</v>
      </c>
      <c r="B19" t="s">
        <v>38</v>
      </c>
      <c r="C19" t="s">
        <v>43</v>
      </c>
      <c r="D19" t="s">
        <v>60</v>
      </c>
      <c r="E19" s="3">
        <v>36586</v>
      </c>
      <c r="F19" s="10">
        <f t="shared" ca="1" si="0"/>
        <v>0.15</v>
      </c>
      <c r="G19" s="11">
        <f ca="1">YEAR(NOW())-YEAR(E4)</f>
        <v>10</v>
      </c>
    </row>
    <row r="20" spans="1:7" x14ac:dyDescent="0.3">
      <c r="A20" t="s">
        <v>22</v>
      </c>
      <c r="B20" t="s">
        <v>39</v>
      </c>
      <c r="C20" t="s">
        <v>43</v>
      </c>
      <c r="D20" t="s">
        <v>61</v>
      </c>
      <c r="E20" s="3">
        <v>36951</v>
      </c>
      <c r="F20" s="10">
        <f t="shared" ca="1" si="0"/>
        <v>0.16</v>
      </c>
      <c r="G20" s="9">
        <f ca="1">YEAR(NOW())-YEAR(E20)</f>
        <v>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F3CF-66EE-491D-B05F-FB37F2BF8BCF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B634-78AA-41C2-9677-B0A05F366972}">
  <sheetPr codeName="Sheet4"/>
  <dimension ref="A1:H29"/>
  <sheetViews>
    <sheetView tabSelected="1" workbookViewId="0">
      <selection activeCell="H3" sqref="H3"/>
    </sheetView>
  </sheetViews>
  <sheetFormatPr defaultRowHeight="16.5" x14ac:dyDescent="0.3"/>
  <cols>
    <col min="2" max="2" width="17.5" customWidth="1"/>
    <col min="3" max="3" width="12.5" customWidth="1"/>
    <col min="4" max="4" width="16.375" style="15" customWidth="1"/>
    <col min="5" max="5" width="12.125" style="15" customWidth="1"/>
    <col min="6" max="6" width="9" style="15"/>
    <col min="7" max="7" width="21.75" customWidth="1"/>
  </cols>
  <sheetData>
    <row r="1" spans="1:8" x14ac:dyDescent="0.3">
      <c r="A1" s="16"/>
      <c r="B1" s="16"/>
      <c r="C1" s="16"/>
      <c r="D1" s="16"/>
      <c r="E1" s="16"/>
      <c r="F1" s="16"/>
    </row>
    <row r="3" spans="1:8" x14ac:dyDescent="0.3">
      <c r="A3" s="13" t="s">
        <v>62</v>
      </c>
      <c r="B3" s="13" t="s">
        <v>63</v>
      </c>
      <c r="C3" s="13" t="s">
        <v>64</v>
      </c>
      <c r="D3" s="13" t="s">
        <v>65</v>
      </c>
      <c r="E3" s="13" t="s">
        <v>87</v>
      </c>
      <c r="F3" s="13" t="s">
        <v>66</v>
      </c>
      <c r="G3" s="13" t="s">
        <v>86</v>
      </c>
      <c r="H3" s="13" t="s">
        <v>88</v>
      </c>
    </row>
    <row r="4" spans="1:8" x14ac:dyDescent="0.3">
      <c r="A4" t="s">
        <v>67</v>
      </c>
      <c r="B4" t="s">
        <v>78</v>
      </c>
      <c r="C4">
        <v>50000000</v>
      </c>
      <c r="D4" s="14">
        <v>40098</v>
      </c>
      <c r="E4" s="17">
        <v>134000</v>
      </c>
      <c r="F4" s="15" t="s">
        <v>10</v>
      </c>
      <c r="G4" s="18" cm="1">
        <f t="array" ref="G4">총보험료(D4,E4)</f>
        <v>16884000</v>
      </c>
      <c r="H4" t="str">
        <f>IF(OR(MID(VLOOKUP(F4,영업사원!$A$3:$F$20,4,FALSE),8,1)="1",
MID(VLOOKUP(F4,영업사원!$A$3:$F$20,4,FALSE),8,1)="3"),"남자", "여자")</f>
        <v>남자</v>
      </c>
    </row>
    <row r="5" spans="1:8" x14ac:dyDescent="0.3">
      <c r="A5" t="s">
        <v>67</v>
      </c>
      <c r="B5" t="s">
        <v>78</v>
      </c>
      <c r="C5">
        <v>50000000</v>
      </c>
      <c r="D5" s="14">
        <v>40098</v>
      </c>
      <c r="E5" s="17">
        <v>134000</v>
      </c>
      <c r="F5" s="15" t="s">
        <v>10</v>
      </c>
      <c r="G5" cm="1">
        <f t="array" ref="G5">총보험료(D5,E5)</f>
        <v>16884000</v>
      </c>
      <c r="H5" t="str">
        <f>IF(OR(MID(VLOOKUP(F5,영업사원!$A$3:$F$20,4,FALSE),8,1)="1",
MID(VLOOKUP(F5,영업사원!$A$3:$F$20,4,FALSE),8,1)="3"),"남자", "여자")</f>
        <v>남자</v>
      </c>
    </row>
    <row r="6" spans="1:8" x14ac:dyDescent="0.3">
      <c r="A6" t="s">
        <v>68</v>
      </c>
      <c r="B6" t="s">
        <v>78</v>
      </c>
      <c r="C6">
        <v>70000000</v>
      </c>
      <c r="D6" s="14">
        <v>40938</v>
      </c>
      <c r="E6" s="17">
        <v>201400</v>
      </c>
      <c r="F6" s="15" t="s">
        <v>11</v>
      </c>
      <c r="G6" cm="1">
        <f t="array" ref="G6">총보험료(D6,E6)</f>
        <v>19938600</v>
      </c>
      <c r="H6" t="str">
        <f>IF(OR(MID(VLOOKUP(F6,영업사원!$A$3:$F$20,4,FALSE),8,1)="1",
MID(VLOOKUP(F6,영업사원!$A$3:$F$20,4,FALSE),8,1)="3"),"남자", "여자")</f>
        <v>남자</v>
      </c>
    </row>
    <row r="7" spans="1:8" x14ac:dyDescent="0.3">
      <c r="A7" t="s">
        <v>68</v>
      </c>
      <c r="B7" t="s">
        <v>79</v>
      </c>
      <c r="C7">
        <v>70000000</v>
      </c>
      <c r="D7" s="14">
        <v>41118</v>
      </c>
      <c r="E7" s="17">
        <v>98000</v>
      </c>
      <c r="F7" s="15" t="s">
        <v>17</v>
      </c>
      <c r="G7" cm="1">
        <f t="array" ref="G7">총보험료(D7,E7)</f>
        <v>9114000</v>
      </c>
      <c r="H7" t="str">
        <f>IF(OR(MID(VLOOKUP(F7,영업사원!$A$3:$F$20,4,FALSE),8,1)="1",
MID(VLOOKUP(F7,영업사원!$A$3:$F$20,4,FALSE),8,1)="3"),"남자", "여자")</f>
        <v>남자</v>
      </c>
    </row>
    <row r="8" spans="1:8" x14ac:dyDescent="0.3">
      <c r="A8" t="s">
        <v>69</v>
      </c>
      <c r="B8" t="s">
        <v>78</v>
      </c>
      <c r="C8">
        <v>50000000</v>
      </c>
      <c r="D8" s="14">
        <v>40938</v>
      </c>
      <c r="E8" s="17">
        <v>134000</v>
      </c>
      <c r="F8" s="15" t="s">
        <v>12</v>
      </c>
      <c r="G8" cm="1">
        <f t="array" ref="G8">총보험료(D8,E8)</f>
        <v>13266000</v>
      </c>
      <c r="H8" t="str">
        <f>IF(OR(MID(VLOOKUP(F8,영업사원!$A$3:$F$20,4,FALSE),8,1)="1",
MID(VLOOKUP(F8,영업사원!$A$3:$F$20,4,FALSE),8,1)="3"),"남자", "여자")</f>
        <v>남자</v>
      </c>
    </row>
    <row r="9" spans="1:8" x14ac:dyDescent="0.3">
      <c r="A9" t="s">
        <v>69</v>
      </c>
      <c r="B9" t="s">
        <v>80</v>
      </c>
      <c r="C9">
        <v>80000000</v>
      </c>
      <c r="D9" s="14">
        <v>41178</v>
      </c>
      <c r="E9" s="17">
        <v>159000</v>
      </c>
      <c r="F9" s="15" t="s">
        <v>20</v>
      </c>
      <c r="G9" cm="1">
        <f t="array" ref="G9">총보험료(D9,E9)</f>
        <v>14469000</v>
      </c>
      <c r="H9" t="str">
        <f>IF(OR(MID(VLOOKUP(F9,영업사원!$A$3:$F$20,4,FALSE),8,1)="1",
MID(VLOOKUP(F9,영업사원!$A$3:$F$20,4,FALSE),8,1)="3"),"남자", "여자")</f>
        <v>남자</v>
      </c>
    </row>
    <row r="10" spans="1:8" x14ac:dyDescent="0.3">
      <c r="A10" t="s">
        <v>70</v>
      </c>
      <c r="B10" t="s">
        <v>82</v>
      </c>
      <c r="C10">
        <v>30000000</v>
      </c>
      <c r="D10" s="14">
        <v>41688</v>
      </c>
      <c r="E10" s="17">
        <v>25200</v>
      </c>
      <c r="F10" s="15" t="s">
        <v>20</v>
      </c>
      <c r="G10" cm="1">
        <f t="array" ref="G10">총보험료(D10,E10)</f>
        <v>1864800</v>
      </c>
      <c r="H10" t="str">
        <f>IF(OR(MID(VLOOKUP(F10,영업사원!$A$3:$F$20,4,FALSE),8,1)="1",
MID(VLOOKUP(F10,영업사원!$A$3:$F$20,4,FALSE),8,1)="3"),"남자", "여자")</f>
        <v>남자</v>
      </c>
    </row>
    <row r="11" spans="1:8" x14ac:dyDescent="0.3">
      <c r="A11" t="s">
        <v>70</v>
      </c>
      <c r="B11" t="s">
        <v>79</v>
      </c>
      <c r="C11">
        <v>30000000</v>
      </c>
      <c r="D11" s="14">
        <v>40938</v>
      </c>
      <c r="E11" s="17">
        <v>98000</v>
      </c>
      <c r="F11" s="15" t="s">
        <v>7</v>
      </c>
      <c r="G11" cm="1">
        <f t="array" ref="G11">총보험료(D11,E11)</f>
        <v>9702000</v>
      </c>
      <c r="H11" t="str">
        <f>IF(OR(MID(VLOOKUP(F11,영업사원!$A$3:$F$20,4,FALSE),8,1)="1",
MID(VLOOKUP(F11,영업사원!$A$3:$F$20,4,FALSE),8,1)="3"),"남자", "여자")</f>
        <v>남자</v>
      </c>
    </row>
    <row r="12" spans="1:8" x14ac:dyDescent="0.3">
      <c r="A12" t="s">
        <v>71</v>
      </c>
      <c r="B12" t="s">
        <v>80</v>
      </c>
      <c r="C12">
        <v>100000000</v>
      </c>
      <c r="D12" s="14">
        <v>40938</v>
      </c>
      <c r="E12" s="17">
        <v>378000</v>
      </c>
      <c r="F12" s="15" t="s">
        <v>9</v>
      </c>
      <c r="G12" cm="1">
        <f t="array" ref="G12">총보험료(D12,E12)</f>
        <v>37422000</v>
      </c>
      <c r="H12" t="str">
        <f>IF(OR(MID(VLOOKUP(F12,영업사원!$A$3:$F$20,4,FALSE),8,1)="1",
MID(VLOOKUP(F12,영업사원!$A$3:$F$20,4,FALSE),8,1)="3"),"남자", "여자")</f>
        <v>남자</v>
      </c>
    </row>
    <row r="13" spans="1:8" x14ac:dyDescent="0.3">
      <c r="A13" t="s">
        <v>71</v>
      </c>
      <c r="B13" t="s">
        <v>81</v>
      </c>
      <c r="C13">
        <v>20000000</v>
      </c>
      <c r="D13" s="14">
        <v>40938</v>
      </c>
      <c r="E13" s="17">
        <v>434500</v>
      </c>
      <c r="F13" s="15" t="s">
        <v>17</v>
      </c>
      <c r="G13" cm="1">
        <f t="array" ref="G13">총보험료(D13,E13)</f>
        <v>43015500</v>
      </c>
      <c r="H13" t="str">
        <f>IF(OR(MID(VLOOKUP(F13,영업사원!$A$3:$F$20,4,FALSE),8,1)="1",
MID(VLOOKUP(F13,영업사원!$A$3:$F$20,4,FALSE),8,1)="3"),"남자", "여자")</f>
        <v>남자</v>
      </c>
    </row>
    <row r="14" spans="1:8" x14ac:dyDescent="0.3">
      <c r="A14" t="s">
        <v>71</v>
      </c>
      <c r="B14" t="s">
        <v>79</v>
      </c>
      <c r="C14">
        <v>30000000</v>
      </c>
      <c r="D14" s="14">
        <v>40938</v>
      </c>
      <c r="E14" s="17">
        <v>98000</v>
      </c>
      <c r="F14" s="15" t="s">
        <v>11</v>
      </c>
      <c r="G14" cm="1">
        <f t="array" ref="G14">총보험료(D14,E14)</f>
        <v>9702000</v>
      </c>
      <c r="H14" t="str">
        <f>IF(OR(MID(VLOOKUP(F14,영업사원!$A$3:$F$20,4,FALSE),8,1)="1",
MID(VLOOKUP(F14,영업사원!$A$3:$F$20,4,FALSE),8,1)="3"),"남자", "여자")</f>
        <v>남자</v>
      </c>
    </row>
    <row r="15" spans="1:8" x14ac:dyDescent="0.3">
      <c r="A15" t="s">
        <v>71</v>
      </c>
      <c r="B15" t="s">
        <v>78</v>
      </c>
      <c r="C15">
        <v>250000000</v>
      </c>
      <c r="D15" s="14">
        <v>41118</v>
      </c>
      <c r="E15" s="17">
        <v>340000</v>
      </c>
      <c r="F15" s="15" t="s">
        <v>17</v>
      </c>
      <c r="G15" cm="1">
        <f t="array" ref="G15">총보험료(D15,E15)</f>
        <v>31620000</v>
      </c>
      <c r="H15" t="str">
        <f>IF(OR(MID(VLOOKUP(F15,영업사원!$A$3:$F$20,4,FALSE),8,1)="1",
MID(VLOOKUP(F15,영업사원!$A$3:$F$20,4,FALSE),8,1)="3"),"남자", "여자")</f>
        <v>남자</v>
      </c>
    </row>
    <row r="16" spans="1:8" x14ac:dyDescent="0.3">
      <c r="A16" t="s">
        <v>71</v>
      </c>
      <c r="B16" t="s">
        <v>83</v>
      </c>
      <c r="C16">
        <v>30000000</v>
      </c>
      <c r="D16" s="14">
        <v>41688</v>
      </c>
      <c r="E16" s="17">
        <v>25200</v>
      </c>
      <c r="F16" s="15" t="s">
        <v>19</v>
      </c>
      <c r="G16" cm="1">
        <f t="array" ref="G16">총보험료(D16,E16)</f>
        <v>1864800</v>
      </c>
      <c r="H16" t="str">
        <f>IF(OR(MID(VLOOKUP(F16,영업사원!$A$3:$F$20,4,FALSE),8,1)="1",
MID(VLOOKUP(F16,영업사원!$A$3:$F$20,4,FALSE),8,1)="3"),"남자", "여자")</f>
        <v>여자</v>
      </c>
    </row>
    <row r="17" spans="1:8" x14ac:dyDescent="0.3">
      <c r="A17" t="s">
        <v>71</v>
      </c>
      <c r="B17" t="s">
        <v>81</v>
      </c>
      <c r="C17">
        <v>30000000</v>
      </c>
      <c r="D17" s="14">
        <v>41178</v>
      </c>
      <c r="E17" s="17">
        <v>49800</v>
      </c>
      <c r="F17" s="15" t="s">
        <v>10</v>
      </c>
      <c r="G17" cm="1">
        <f t="array" ref="G17">총보험료(D17,E17)</f>
        <v>4531800</v>
      </c>
      <c r="H17" t="str">
        <f>IF(OR(MID(VLOOKUP(F17,영업사원!$A$3:$F$20,4,FALSE),8,1)="1",
MID(VLOOKUP(F17,영업사원!$A$3:$F$20,4,FALSE),8,1)="3"),"남자", "여자")</f>
        <v>남자</v>
      </c>
    </row>
    <row r="18" spans="1:8" x14ac:dyDescent="0.3">
      <c r="A18" t="s">
        <v>72</v>
      </c>
      <c r="B18" t="s">
        <v>78</v>
      </c>
      <c r="C18">
        <v>50000000</v>
      </c>
      <c r="D18" s="14">
        <v>41178</v>
      </c>
      <c r="E18" s="17">
        <v>120000</v>
      </c>
      <c r="F18" s="15" t="s">
        <v>15</v>
      </c>
      <c r="G18" cm="1">
        <f t="array" ref="G18">총보험료(D18,E18)</f>
        <v>10920000</v>
      </c>
      <c r="H18" t="str">
        <f>IF(OR(MID(VLOOKUP(F18,영업사원!$A$3:$F$20,4,FALSE),8,1)="1",
MID(VLOOKUP(F18,영업사원!$A$3:$F$20,4,FALSE),8,1)="3"),"남자", "여자")</f>
        <v>여자</v>
      </c>
    </row>
    <row r="19" spans="1:8" x14ac:dyDescent="0.3">
      <c r="A19" t="s">
        <v>72</v>
      </c>
      <c r="B19" t="s">
        <v>81</v>
      </c>
      <c r="C19">
        <v>150000000</v>
      </c>
      <c r="D19" s="14">
        <v>40098</v>
      </c>
      <c r="E19" s="17">
        <v>244000</v>
      </c>
      <c r="F19" s="15" t="s">
        <v>21</v>
      </c>
      <c r="G19" cm="1">
        <f t="array" ref="G19">총보험료(D19,E19)</f>
        <v>30744000</v>
      </c>
      <c r="H19" t="str">
        <f>IF(OR(MID(VLOOKUP(F19,영업사원!$A$3:$F$20,4,FALSE),8,1)="1",
MID(VLOOKUP(F19,영업사원!$A$3:$F$20,4,FALSE),8,1)="3"),"남자", "여자")</f>
        <v>남자</v>
      </c>
    </row>
    <row r="20" spans="1:8" x14ac:dyDescent="0.3">
      <c r="A20" t="s">
        <v>73</v>
      </c>
      <c r="B20" t="s">
        <v>81</v>
      </c>
      <c r="C20">
        <v>20000000</v>
      </c>
      <c r="D20" s="14">
        <v>40458</v>
      </c>
      <c r="E20" s="17">
        <v>23800</v>
      </c>
      <c r="F20" s="15" t="s">
        <v>13</v>
      </c>
      <c r="G20" cm="1">
        <f t="array" ref="G20">총보험료(D20,E20)</f>
        <v>2713200</v>
      </c>
      <c r="H20" t="str">
        <f>IF(OR(MID(VLOOKUP(F20,영업사원!$A$3:$F$20,4,FALSE),8,1)="1",
MID(VLOOKUP(F20,영업사원!$A$3:$F$20,4,FALSE),8,1)="3"),"남자", "여자")</f>
        <v>남자</v>
      </c>
    </row>
    <row r="21" spans="1:8" x14ac:dyDescent="0.3">
      <c r="A21" t="s">
        <v>73</v>
      </c>
      <c r="B21" t="s">
        <v>78</v>
      </c>
      <c r="C21">
        <v>20000000</v>
      </c>
      <c r="D21" s="14">
        <v>41538</v>
      </c>
      <c r="E21" s="17">
        <v>34500</v>
      </c>
      <c r="F21" s="15" t="s">
        <v>22</v>
      </c>
      <c r="G21" cm="1">
        <f t="array" ref="G21">총보험료(D21,E21)</f>
        <v>2725500</v>
      </c>
      <c r="H21" t="str">
        <f>IF(OR(MID(VLOOKUP(F21,영업사원!$A$3:$F$20,4,FALSE),8,1)="1",
MID(VLOOKUP(F21,영업사원!$A$3:$F$20,4,FALSE),8,1)="3"),"남자", "여자")</f>
        <v>여자</v>
      </c>
    </row>
    <row r="22" spans="1:8" x14ac:dyDescent="0.3">
      <c r="A22" t="s">
        <v>74</v>
      </c>
      <c r="B22" t="s">
        <v>79</v>
      </c>
      <c r="C22">
        <v>30000000</v>
      </c>
      <c r="D22" s="14">
        <v>41178</v>
      </c>
      <c r="E22" s="17">
        <v>89000</v>
      </c>
      <c r="F22" s="15" t="s">
        <v>14</v>
      </c>
      <c r="G22" cm="1">
        <f t="array" ref="G22">총보험료(D22,E22)</f>
        <v>8099000</v>
      </c>
      <c r="H22" t="str">
        <f>IF(OR(MID(VLOOKUP(F22,영업사원!$A$3:$F$20,4,FALSE),8,1)="1",
MID(VLOOKUP(F22,영업사원!$A$3:$F$20,4,FALSE),8,1)="3"),"남자", "여자")</f>
        <v>여자</v>
      </c>
    </row>
    <row r="23" spans="1:8" x14ac:dyDescent="0.3">
      <c r="A23" t="s">
        <v>74</v>
      </c>
      <c r="B23" t="s">
        <v>84</v>
      </c>
      <c r="C23">
        <v>10000000</v>
      </c>
      <c r="D23" s="14">
        <v>41688</v>
      </c>
      <c r="E23" s="17">
        <v>34200</v>
      </c>
      <c r="F23" s="15" t="s">
        <v>17</v>
      </c>
      <c r="G23" cm="1">
        <f t="array" ref="G23">총보험료(D23,E23)</f>
        <v>2530800</v>
      </c>
      <c r="H23" t="str">
        <f>IF(OR(MID(VLOOKUP(F23,영업사원!$A$3:$F$20,4,FALSE),8,1)="1",
MID(VLOOKUP(F23,영업사원!$A$3:$F$20,4,FALSE),8,1)="3"),"남자", "여자")</f>
        <v>남자</v>
      </c>
    </row>
    <row r="24" spans="1:8" x14ac:dyDescent="0.3">
      <c r="A24" t="s">
        <v>75</v>
      </c>
      <c r="B24" t="s">
        <v>80</v>
      </c>
      <c r="C24">
        <v>70000000</v>
      </c>
      <c r="D24" s="14">
        <v>40758</v>
      </c>
      <c r="E24" s="17">
        <v>167000</v>
      </c>
      <c r="F24" s="15" t="s">
        <v>8</v>
      </c>
      <c r="G24" cm="1">
        <f t="array" ref="G24">총보험료(D24,E24)</f>
        <v>17368000</v>
      </c>
      <c r="H24" t="str">
        <f>IF(OR(MID(VLOOKUP(F24,영업사원!$A$3:$F$20,4,FALSE),8,1)="1",
MID(VLOOKUP(F24,영업사원!$A$3:$F$20,4,FALSE),8,1)="3"),"남자", "여자")</f>
        <v>여자</v>
      </c>
    </row>
    <row r="25" spans="1:8" x14ac:dyDescent="0.3">
      <c r="A25" t="s">
        <v>75</v>
      </c>
      <c r="B25" t="s">
        <v>79</v>
      </c>
      <c r="C25">
        <v>50000000</v>
      </c>
      <c r="D25" s="14">
        <v>41178</v>
      </c>
      <c r="E25" s="17">
        <v>170000</v>
      </c>
      <c r="F25" s="15" t="s">
        <v>16</v>
      </c>
      <c r="G25" cm="1">
        <f t="array" ref="G25">총보험료(D25,E25)</f>
        <v>15470000</v>
      </c>
      <c r="H25" t="str">
        <f>IF(OR(MID(VLOOKUP(F25,영업사원!$A$3:$F$20,4,FALSE),8,1)="1",
MID(VLOOKUP(F25,영업사원!$A$3:$F$20,4,FALSE),8,1)="3"),"남자", "여자")</f>
        <v>여자</v>
      </c>
    </row>
    <row r="26" spans="1:8" x14ac:dyDescent="0.3">
      <c r="A26" t="s">
        <v>76</v>
      </c>
      <c r="B26" t="s">
        <v>80</v>
      </c>
      <c r="C26">
        <v>70000000</v>
      </c>
      <c r="D26" s="14">
        <v>40428</v>
      </c>
      <c r="E26" s="17">
        <v>158000</v>
      </c>
      <c r="F26" s="15" t="s">
        <v>7</v>
      </c>
      <c r="G26" cm="1">
        <f t="array" ref="G26">총보험료(D26,E26)</f>
        <v>18170000</v>
      </c>
      <c r="H26" t="str">
        <f>IF(OR(MID(VLOOKUP(F26,영업사원!$A$3:$F$20,4,FALSE),8,1)="1",
MID(VLOOKUP(F26,영업사원!$A$3:$F$20,4,FALSE),8,1)="3"),"남자", "여자")</f>
        <v>남자</v>
      </c>
    </row>
    <row r="27" spans="1:8" x14ac:dyDescent="0.3">
      <c r="A27" t="s">
        <v>76</v>
      </c>
      <c r="B27" t="s">
        <v>81</v>
      </c>
      <c r="C27">
        <v>30000000</v>
      </c>
      <c r="D27" s="14">
        <v>41838</v>
      </c>
      <c r="E27" s="17">
        <v>38900</v>
      </c>
      <c r="F27" s="15" t="s">
        <v>85</v>
      </c>
      <c r="G27" cm="1">
        <f t="array" ref="G27">총보험료(D27,E27)</f>
        <v>2684100</v>
      </c>
      <c r="H27" t="e">
        <f>IF(OR(MID(VLOOKUP(F27,영업사원!$A$3:$F$20,4,FALSE),8,1)="1",
MID(VLOOKUP(F27,영업사원!$A$3:$F$20,4,FALSE),8,1)="3"),"남자", "여자")</f>
        <v>#N/A</v>
      </c>
    </row>
    <row r="28" spans="1:8" x14ac:dyDescent="0.3">
      <c r="A28" t="s">
        <v>77</v>
      </c>
      <c r="B28" t="s">
        <v>83</v>
      </c>
      <c r="C28">
        <v>30000000</v>
      </c>
      <c r="D28" s="14">
        <v>41178</v>
      </c>
      <c r="E28" s="17">
        <v>38340</v>
      </c>
      <c r="F28" s="15" t="s">
        <v>19</v>
      </c>
      <c r="G28" cm="1">
        <f t="array" ref="G28">총보험료(D28,E28)</f>
        <v>3488940</v>
      </c>
      <c r="H28" t="str">
        <f>IF(OR(MID(VLOOKUP(F28,영업사원!$A$3:$F$20,4,FALSE),8,1)="1",
MID(VLOOKUP(F28,영업사원!$A$3:$F$20,4,FALSE),8,1)="3"),"남자", "여자")</f>
        <v>여자</v>
      </c>
    </row>
    <row r="29" spans="1:8" x14ac:dyDescent="0.3">
      <c r="A29" t="s">
        <v>77</v>
      </c>
      <c r="B29" t="s">
        <v>78</v>
      </c>
      <c r="C29">
        <v>70000000</v>
      </c>
      <c r="D29" s="14">
        <v>41778</v>
      </c>
      <c r="E29" s="17">
        <v>124700</v>
      </c>
      <c r="F29" s="15" t="s">
        <v>21</v>
      </c>
      <c r="G29" cm="1">
        <f t="array" ref="G29">총보험료(D29,E29)</f>
        <v>8853700</v>
      </c>
      <c r="H29" t="str">
        <f>IF(OR(MID(VLOOKUP(F29,영업사원!$A$3:$F$20,4,FALSE),8,1)="1",
MID(VLOOKUP(F29,영업사원!$A$3:$F$20,4,FALSE),8,1)="3"),"남자", "여자")</f>
        <v>남자</v>
      </c>
    </row>
  </sheetData>
  <mergeCells count="1">
    <mergeCell ref="A1:F1"/>
  </mergeCells>
  <phoneticPr fontId="3" type="noConversion"/>
  <conditionalFormatting sqref="A4:G43000">
    <cfRule type="expression" dxfId="1" priority="7">
      <formula>OR($C4 &gt;= 100000000,$E4&gt;= 300000)</formula>
    </cfRule>
    <cfRule type="expression" dxfId="0" priority="1">
      <formula>$A4 &lt;&gt; 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96C-4142-40C9-AE42-C64DCE5038A0}">
  <sheetPr codeName="Sheet5"/>
  <dimension ref="A1"/>
  <sheetViews>
    <sheetView workbookViewId="0">
      <selection activeCell="E11" sqref="E11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9AC-FF78-47F6-96DB-9F621FE609A0}">
  <sheetPr codeName="Sheet6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영업사원</vt:lpstr>
      <vt:lpstr>고객명단</vt:lpstr>
      <vt:lpstr>보험계약현황</vt:lpstr>
      <vt:lpstr>보험증</vt:lpstr>
      <vt:lpstr>계약현황차트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2020-04-19T07:28:59Z</dcterms:created>
  <dcterms:modified xsi:type="dcterms:W3CDTF">2020-04-23T13:00:51Z</dcterms:modified>
</cp:coreProperties>
</file>