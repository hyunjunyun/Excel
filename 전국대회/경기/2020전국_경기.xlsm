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경기\"/>
    </mc:Choice>
  </mc:AlternateContent>
  <xr:revisionPtr revIDLastSave="0" documentId="13_ncr:1_{0489A331-6D05-4B37-8CCC-F59068ED0E73}" xr6:coauthVersionLast="46" xr6:coauthVersionMax="46" xr10:uidLastSave="{00000000-0000-0000-0000-000000000000}"/>
  <bookViews>
    <workbookView xWindow="-120" yWindow="-120" windowWidth="29040" windowHeight="15840" firstSheet="5" activeTab="7" xr2:uid="{D3BAA47A-9019-4C9C-8388-1890A66C068C}"/>
  </bookViews>
  <sheets>
    <sheet name="메인" sheetId="1" r:id="rId1"/>
    <sheet name="동팀" sheetId="2" r:id="rId2"/>
    <sheet name="서팀" sheetId="3" r:id="rId3"/>
    <sheet name="종목" sheetId="4" r:id="rId4"/>
    <sheet name="스케줄" sheetId="5" r:id="rId5"/>
    <sheet name="경기현황" sheetId="6" r:id="rId6"/>
    <sheet name="차트" sheetId="7" r:id="rId7"/>
    <sheet name="데이터" sheetId="9" r:id="rId8"/>
  </sheets>
  <definedNames>
    <definedName name="로그인여부">메인!$A$1</definedName>
    <definedName name="종목">메인!$B$1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7" l="1"/>
  <c r="B5" i="7" s="1"/>
  <c r="B6" i="7" s="1"/>
  <c r="B3" i="7"/>
  <c r="B2" i="7"/>
  <c r="C6" i="7"/>
  <c r="C5" i="7"/>
  <c r="C4" i="7"/>
  <c r="C3" i="7"/>
  <c r="C2" i="7"/>
  <c r="B2" i="9"/>
  <c r="B6" i="9"/>
  <c r="B5" i="9"/>
  <c r="B4" i="9"/>
  <c r="B3" i="9"/>
</calcChain>
</file>

<file path=xl/sharedStrings.xml><?xml version="1.0" encoding="utf-8"?>
<sst xmlns="http://schemas.openxmlformats.org/spreadsheetml/2006/main" count="249" uniqueCount="137">
  <si>
    <t>번호</t>
  </si>
  <si>
    <t>성명</t>
  </si>
  <si>
    <t>생년월일</t>
  </si>
  <si>
    <t>나이</t>
  </si>
  <si>
    <t>사진</t>
  </si>
  <si>
    <t>김영빈</t>
  </si>
  <si>
    <t>O</t>
  </si>
  <si>
    <t>김효성</t>
  </si>
  <si>
    <t>X</t>
  </si>
  <si>
    <t>노형민</t>
  </si>
  <si>
    <t>서승우</t>
  </si>
  <si>
    <t>오진수</t>
  </si>
  <si>
    <t>유법상</t>
  </si>
  <si>
    <t>윤예찬</t>
  </si>
  <si>
    <t>이규미</t>
  </si>
  <si>
    <t>이기연</t>
  </si>
  <si>
    <t>이태현</t>
  </si>
  <si>
    <t>이한솔</t>
  </si>
  <si>
    <t>전다훈</t>
  </si>
  <si>
    <t>차우성</t>
  </si>
  <si>
    <t>한성준</t>
  </si>
  <si>
    <t>김도현</t>
  </si>
  <si>
    <t>김민우</t>
  </si>
  <si>
    <t>김범식</t>
  </si>
  <si>
    <t>김성원</t>
  </si>
  <si>
    <t>김수민</t>
  </si>
  <si>
    <t>김재윤</t>
  </si>
  <si>
    <t>신현수</t>
  </si>
  <si>
    <t>원영철</t>
  </si>
  <si>
    <t>이정진</t>
  </si>
  <si>
    <t>이훈</t>
  </si>
  <si>
    <t>장주열</t>
  </si>
  <si>
    <t>하태광</t>
  </si>
  <si>
    <t>강민성</t>
  </si>
  <si>
    <t>강병호</t>
  </si>
  <si>
    <t>강승훈</t>
  </si>
  <si>
    <t>권용욱</t>
  </si>
  <si>
    <t>김민유</t>
  </si>
  <si>
    <t>김상현</t>
  </si>
  <si>
    <t>김진겸</t>
  </si>
  <si>
    <t>김혜린</t>
  </si>
  <si>
    <t>박준영</t>
  </si>
  <si>
    <t>윤성민</t>
  </si>
  <si>
    <t>윤제중</t>
  </si>
  <si>
    <t>윤제민</t>
  </si>
  <si>
    <t>윤민중</t>
  </si>
  <si>
    <t>김진중</t>
  </si>
  <si>
    <t>이훈용</t>
  </si>
  <si>
    <t>연습용</t>
  </si>
  <si>
    <t>김도연</t>
  </si>
  <si>
    <t>김홍경</t>
  </si>
  <si>
    <t>박상준</t>
  </si>
  <si>
    <t>박재우</t>
  </si>
  <si>
    <t>심규빈</t>
  </si>
  <si>
    <t>우세희</t>
  </si>
  <si>
    <t>원석호</t>
  </si>
  <si>
    <t>유재혁</t>
  </si>
  <si>
    <t>이건욱</t>
  </si>
  <si>
    <t>이광욱</t>
  </si>
  <si>
    <t>이상협</t>
  </si>
  <si>
    <t>이혜민</t>
  </si>
  <si>
    <t>정호성</t>
  </si>
  <si>
    <t xml:space="preserve">김별은 </t>
  </si>
  <si>
    <t xml:space="preserve">김은별 </t>
  </si>
  <si>
    <t>권현우</t>
  </si>
  <si>
    <t>김미르</t>
  </si>
  <si>
    <t>김민석</t>
  </si>
  <si>
    <t>김선겸</t>
  </si>
  <si>
    <t>박성훈</t>
  </si>
  <si>
    <t>박신형</t>
  </si>
  <si>
    <t>박형민</t>
  </si>
  <si>
    <t>박정민</t>
  </si>
  <si>
    <t>안도현</t>
  </si>
  <si>
    <t>이상훈</t>
  </si>
  <si>
    <t>이유라</t>
  </si>
  <si>
    <t>이정복</t>
  </si>
  <si>
    <t>임수홍</t>
  </si>
  <si>
    <t>장종현</t>
  </si>
  <si>
    <t>조재영</t>
  </si>
  <si>
    <t>진유민</t>
  </si>
  <si>
    <t>함현지</t>
  </si>
  <si>
    <t>허수한</t>
  </si>
  <si>
    <t>서인준</t>
  </si>
  <si>
    <t>권윤학</t>
  </si>
  <si>
    <t>김시몬</t>
  </si>
  <si>
    <t>김유진</t>
  </si>
  <si>
    <t>김조훈</t>
  </si>
  <si>
    <t>김진언</t>
  </si>
  <si>
    <t>석효빈</t>
  </si>
  <si>
    <t>양효빈</t>
  </si>
  <si>
    <t>유진성</t>
  </si>
  <si>
    <t>윤선영</t>
  </si>
  <si>
    <t>윤현석</t>
  </si>
  <si>
    <t>이건흠</t>
  </si>
  <si>
    <t>최혜성</t>
  </si>
  <si>
    <t>한상우</t>
  </si>
  <si>
    <t>정종민</t>
  </si>
  <si>
    <t>종목명</t>
  </si>
  <si>
    <t>소요시간(분)</t>
  </si>
  <si>
    <t>참가인원수</t>
  </si>
  <si>
    <t>승리포인트</t>
  </si>
  <si>
    <t>동팀 참가학생(번호)</t>
  </si>
  <si>
    <t>서팀 참가학생(번호)</t>
  </si>
  <si>
    <t>씨름</t>
  </si>
  <si>
    <t>23,24,27,29,30,32,34,36,41,42</t>
  </si>
  <si>
    <t>14,15,20,22,24,31,32,34,36,44</t>
  </si>
  <si>
    <t>농구</t>
  </si>
  <si>
    <t>14,17,19,20,22,27,29,30,31,41</t>
  </si>
  <si>
    <t>2,5,13,15,17,20,24,31,32,33</t>
  </si>
  <si>
    <t>2인3각</t>
  </si>
  <si>
    <t>6,7,13,14,18,20,22,24,25,27,28,31,33,34,41</t>
  </si>
  <si>
    <t>1,4,5,6,15,18,20,22,23,24,28,29,32,33,36</t>
  </si>
  <si>
    <t>축구</t>
  </si>
  <si>
    <t>전체</t>
  </si>
  <si>
    <t>점심</t>
  </si>
  <si>
    <t>기마전</t>
  </si>
  <si>
    <t>2,4,13,15,25,26,31,32,33,34</t>
  </si>
  <si>
    <t>2,4,5,24,25,31,32,33,39,40</t>
  </si>
  <si>
    <t>줄다기리</t>
  </si>
  <si>
    <t>피구</t>
  </si>
  <si>
    <t>9,10,12,14,16,19,21,27,30,33</t>
  </si>
  <si>
    <t>4,6,14,16,25,26,32,34,36,40</t>
  </si>
  <si>
    <t>이어달리기</t>
  </si>
  <si>
    <t>16,18,20,22,24,26,27,29,30,31</t>
  </si>
  <si>
    <t>9,11,22,24,26,32,34,35,38,40</t>
  </si>
  <si>
    <t>대표자</t>
    <phoneticPr fontId="1" type="noConversion"/>
  </si>
  <si>
    <t>김영빈</t>
    <phoneticPr fontId="1" type="noConversion"/>
  </si>
  <si>
    <t>김도연</t>
    <phoneticPr fontId="1" type="noConversion"/>
  </si>
  <si>
    <t>등록</t>
    <phoneticPr fontId="1" type="noConversion"/>
  </si>
  <si>
    <t>시간</t>
    <phoneticPr fontId="1" type="noConversion"/>
  </si>
  <si>
    <t>점심</t>
    <phoneticPr fontId="1" type="noConversion"/>
  </si>
  <si>
    <t>할일</t>
    <phoneticPr fontId="1" type="noConversion"/>
  </si>
  <si>
    <t>사용시간</t>
    <phoneticPr fontId="1" type="noConversion"/>
  </si>
  <si>
    <t>기상</t>
    <phoneticPr fontId="1" type="noConversion"/>
  </si>
  <si>
    <t>아침</t>
    <phoneticPr fontId="1" type="noConversion"/>
  </si>
  <si>
    <t>저녁</t>
    <phoneticPr fontId="1" type="noConversion"/>
  </si>
  <si>
    <t>공부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</si>
</sst>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</cellXfs>
  <cellStyles count="1">
    <cellStyle name="표준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92110077149445E-2"/>
          <c:y val="8.2906671105326221E-2"/>
          <c:w val="0.87849479042392431"/>
          <c:h val="0.87227541490389737"/>
        </c:manualLayout>
      </c:layout>
      <c:barChart>
        <c:barDir val="bar"/>
        <c:grouping val="stacked"/>
        <c:varyColors val="0"/>
        <c:ser>
          <c:idx val="0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차트!$A$2:$A$10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차트!$B$2:$B$10</c:f>
              <c:numCache>
                <c:formatCode>h:mm;@</c:formatCode>
                <c:ptCount val="9"/>
                <c:pt idx="0">
                  <c:v>0.20833333333333334</c:v>
                </c:pt>
                <c:pt idx="1">
                  <c:v>0.2638888888888889</c:v>
                </c:pt>
                <c:pt idx="2">
                  <c:v>0.29166666666666669</c:v>
                </c:pt>
                <c:pt idx="3">
                  <c:v>0.33333333333333337</c:v>
                </c:pt>
                <c:pt idx="4">
                  <c:v>0.37500000000000006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31-4852-A0D0-45595DB1E1E9}"/>
            </c:ext>
          </c:extLst>
        </c:ser>
        <c:ser>
          <c:idx val="1"/>
          <c:order val="1"/>
          <c:tx>
            <c:v>사용시간</c:v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차트!$A$2:$A$10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차트!$C$2:$C$10</c:f>
              <c:numCache>
                <c:formatCode>h:mm;@</c:formatCode>
                <c:ptCount val="9"/>
                <c:pt idx="0">
                  <c:v>5.5555555555555552E-2</c:v>
                </c:pt>
                <c:pt idx="1">
                  <c:v>2.7777777777777776E-2</c:v>
                </c:pt>
                <c:pt idx="2">
                  <c:v>4.1666666666666664E-2</c:v>
                </c:pt>
                <c:pt idx="3">
                  <c:v>4.1666666666666664E-2</c:v>
                </c:pt>
                <c:pt idx="4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31-4852-A0D0-45595DB1E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06141583"/>
        <c:axId val="1906142831"/>
      </c:barChart>
      <c:catAx>
        <c:axId val="190614158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2831"/>
        <c:crosses val="autoZero"/>
        <c:auto val="1"/>
        <c:lblAlgn val="ctr"/>
        <c:lblOffset val="100"/>
        <c:noMultiLvlLbl val="0"/>
      </c:catAx>
      <c:valAx>
        <c:axId val="1906142831"/>
        <c:scaling>
          <c:orientation val="minMax"/>
          <c:max val="1.25"/>
          <c:min val="0.20900000000000002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6141583"/>
        <c:crosses val="autoZero"/>
        <c:crossBetween val="between"/>
        <c:majorUnit val="4.1666666666666012E-2"/>
        <c:minorUnit val="4.166666666666601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v>시간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차트!$A$2:$A$6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차트!$B$2:$B$6</c:f>
              <c:numCache>
                <c:formatCode>h:mm;@</c:formatCode>
                <c:ptCount val="5"/>
                <c:pt idx="0">
                  <c:v>0.20833333333333334</c:v>
                </c:pt>
                <c:pt idx="1">
                  <c:v>0.2638888888888889</c:v>
                </c:pt>
                <c:pt idx="2">
                  <c:v>0.29166666666666669</c:v>
                </c:pt>
                <c:pt idx="3">
                  <c:v>0.33333333333333337</c:v>
                </c:pt>
                <c:pt idx="4">
                  <c:v>0.37500000000000006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7-460C-AD0A-357914A83E6A}"/>
            </c:ext>
          </c:extLst>
        </c:ser>
        <c:ser>
          <c:idx val="1"/>
          <c:order val="1"/>
          <c:tx>
            <c:v>사용시간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차트!$A$2:$A$6</c:f>
              <c:strCache>
                <c:ptCount val="5"/>
                <c:pt idx="0">
                  <c:v>기상</c:v>
                </c:pt>
                <c:pt idx="1">
                  <c:v>아침</c:v>
                </c:pt>
                <c:pt idx="2">
                  <c:v>점심</c:v>
                </c:pt>
                <c:pt idx="3">
                  <c:v>저녁</c:v>
                </c:pt>
                <c:pt idx="4">
                  <c:v>공부</c:v>
                </c:pt>
              </c:strCache>
            </c:strRef>
          </c:cat>
          <c:val>
            <c:numRef>
              <c:f>차트!$C$2:$C$6</c:f>
              <c:numCache>
                <c:formatCode>h:mm;@</c:formatCode>
                <c:ptCount val="5"/>
                <c:pt idx="0">
                  <c:v>5.5555555555555552E-2</c:v>
                </c:pt>
                <c:pt idx="1">
                  <c:v>2.7777777777777776E-2</c:v>
                </c:pt>
                <c:pt idx="2">
                  <c:v>4.1666666666666664E-2</c:v>
                </c:pt>
                <c:pt idx="3">
                  <c:v>4.1666666666666664E-2</c:v>
                </c:pt>
                <c:pt idx="4">
                  <c:v>4.1666666666666664E-2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7-460C-AD0A-357914A83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9441295"/>
        <c:axId val="649447119"/>
      </c:barChart>
      <c:catAx>
        <c:axId val="6494412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9447119"/>
        <c:crosses val="autoZero"/>
        <c:auto val="1"/>
        <c:lblAlgn val="ctr"/>
        <c:lblOffset val="100"/>
        <c:noMultiLvlLbl val="0"/>
      </c:catAx>
      <c:valAx>
        <c:axId val="649447119"/>
        <c:scaling>
          <c:orientation val="minMax"/>
          <c:max val="1.25"/>
          <c:min val="0.20900000000000002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9441295"/>
        <c:crosses val="autoZero"/>
        <c:crossBetween val="between"/>
        <c:majorUnit val="4.1666600000000012E-2"/>
        <c:minorUnit val="4.1666600000000012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142874</xdr:rowOff>
    </xdr:from>
    <xdr:to>
      <xdr:col>8</xdr:col>
      <xdr:colOff>161925</xdr:colOff>
      <xdr:row>6</xdr:row>
      <xdr:rowOff>38099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5000" y="142874"/>
          <a:ext cx="3743325" cy="1152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4800" b="0">
              <a:solidFill>
                <a:schemeClr val="accent6">
                  <a:lumMod val="75000"/>
                </a:schemeClr>
              </a:solidFill>
            </a:rPr>
            <a:t>가을 운동회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2</xdr:row>
          <xdr:rowOff>114300</xdr:rowOff>
        </xdr:from>
        <xdr:to>
          <xdr:col>2</xdr:col>
          <xdr:colOff>523875</xdr:colOff>
          <xdr:row>4</xdr:row>
          <xdr:rowOff>123825</xdr:rowOff>
        </xdr:to>
        <xdr:sp macro="" textlink="">
          <xdr:nvSpPr>
            <xdr:cNvPr id="2051" name="btn로그인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2</xdr:row>
          <xdr:rowOff>76200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2052" name="btn대회날짜변경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</xdr:row>
          <xdr:rowOff>190500</xdr:rowOff>
        </xdr:from>
        <xdr:to>
          <xdr:col>11</xdr:col>
          <xdr:colOff>9525</xdr:colOff>
          <xdr:row>6</xdr:row>
          <xdr:rowOff>200025</xdr:rowOff>
        </xdr:to>
        <xdr:sp macro="" textlink="">
          <xdr:nvSpPr>
            <xdr:cNvPr id="2053" name="btn스케줄보기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7</xdr:row>
          <xdr:rowOff>133350</xdr:rowOff>
        </xdr:from>
        <xdr:to>
          <xdr:col>11</xdr:col>
          <xdr:colOff>9525</xdr:colOff>
          <xdr:row>9</xdr:row>
          <xdr:rowOff>142875</xdr:rowOff>
        </xdr:to>
        <xdr:sp macro="" textlink="">
          <xdr:nvSpPr>
            <xdr:cNvPr id="2054" name="btn종목목록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10</xdr:row>
          <xdr:rowOff>57150</xdr:rowOff>
        </xdr:from>
        <xdr:to>
          <xdr:col>11</xdr:col>
          <xdr:colOff>0</xdr:colOff>
          <xdr:row>12</xdr:row>
          <xdr:rowOff>66675</xdr:rowOff>
        </xdr:to>
        <xdr:sp macro="" textlink="">
          <xdr:nvSpPr>
            <xdr:cNvPr id="2055" name="btn선수등록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13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2056" name="btn경기현황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15</xdr:row>
          <xdr:rowOff>152400</xdr:rowOff>
        </xdr:from>
        <xdr:to>
          <xdr:col>11</xdr:col>
          <xdr:colOff>0</xdr:colOff>
          <xdr:row>17</xdr:row>
          <xdr:rowOff>161925</xdr:rowOff>
        </xdr:to>
        <xdr:sp macro="" textlink="">
          <xdr:nvSpPr>
            <xdr:cNvPr id="2057" name="btn종료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42</xdr:row>
      <xdr:rowOff>142876</xdr:rowOff>
    </xdr:from>
    <xdr:to>
      <xdr:col>23</xdr:col>
      <xdr:colOff>514350</xdr:colOff>
      <xdr:row>67</xdr:row>
      <xdr:rowOff>19050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623887</xdr:colOff>
      <xdr:row>2</xdr:row>
      <xdr:rowOff>123824</xdr:rowOff>
    </xdr:from>
    <xdr:to>
      <xdr:col>19</xdr:col>
      <xdr:colOff>466725</xdr:colOff>
      <xdr:row>25</xdr:row>
      <xdr:rowOff>161925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634DE2-1C00-40C1-A8EC-925CBB8A2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20A-4A7C-44FB-A23C-EB04C017699C}">
  <sheetPr codeName="Sheet1"/>
  <dimension ref="A1:B1"/>
  <sheetViews>
    <sheetView showGridLines="0" workbookViewId="0">
      <selection activeCell="H24" sqref="H24"/>
    </sheetView>
  </sheetViews>
  <sheetFormatPr defaultRowHeight="16.5" x14ac:dyDescent="0.3"/>
  <sheetData>
    <row r="1" spans="1:2" x14ac:dyDescent="0.3">
      <c r="A1" s="2" t="b">
        <v>0</v>
      </c>
      <c r="B1" s="2" t="s">
        <v>128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로그인">
          <controlPr defaultSize="0" autoLine="0" r:id="rId4">
            <anchor moveWithCells="1">
              <from>
                <xdr:col>0</xdr:col>
                <xdr:colOff>390525</xdr:colOff>
                <xdr:row>2</xdr:row>
                <xdr:rowOff>114300</xdr:rowOff>
              </from>
              <to>
                <xdr:col>2</xdr:col>
                <xdr:colOff>523875</xdr:colOff>
                <xdr:row>4</xdr:row>
                <xdr:rowOff>123825</xdr:rowOff>
              </to>
            </anchor>
          </controlPr>
        </control>
      </mc:Choice>
      <mc:Fallback>
        <control shapeId="2051" r:id="rId3" name="btn로그인"/>
      </mc:Fallback>
    </mc:AlternateContent>
    <mc:AlternateContent xmlns:mc="http://schemas.openxmlformats.org/markup-compatibility/2006">
      <mc:Choice Requires="x14">
        <control shapeId="2052" r:id="rId5" name="btn대회날짜변경">
          <controlPr defaultSize="0" disabled="1" autoLine="0" r:id="rId6">
            <anchor moveWithCells="1">
              <from>
                <xdr:col>8</xdr:col>
                <xdr:colOff>561975</xdr:colOff>
                <xdr:row>2</xdr:row>
                <xdr:rowOff>76200</xdr:rowOff>
              </from>
              <to>
                <xdr:col>11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2052" r:id="rId5" name="btn대회날짜변경"/>
      </mc:Fallback>
    </mc:AlternateContent>
    <mc:AlternateContent xmlns:mc="http://schemas.openxmlformats.org/markup-compatibility/2006">
      <mc:Choice Requires="x14">
        <control shapeId="2053" r:id="rId7" name="btn스케줄보기">
          <controlPr defaultSize="0" autoLine="0" r:id="rId8">
            <anchor moveWithCells="1">
              <from>
                <xdr:col>8</xdr:col>
                <xdr:colOff>561975</xdr:colOff>
                <xdr:row>4</xdr:row>
                <xdr:rowOff>190500</xdr:rowOff>
              </from>
              <to>
                <xdr:col>11</xdr:col>
                <xdr:colOff>9525</xdr:colOff>
                <xdr:row>6</xdr:row>
                <xdr:rowOff>200025</xdr:rowOff>
              </to>
            </anchor>
          </controlPr>
        </control>
      </mc:Choice>
      <mc:Fallback>
        <control shapeId="2053" r:id="rId7" name="btn스케줄보기"/>
      </mc:Fallback>
    </mc:AlternateContent>
    <mc:AlternateContent xmlns:mc="http://schemas.openxmlformats.org/markup-compatibility/2006">
      <mc:Choice Requires="x14">
        <control shapeId="2054" r:id="rId9" name="btn종목목록">
          <controlPr defaultSize="0" disabled="1" autoLine="0" r:id="rId10">
            <anchor moveWithCells="1">
              <from>
                <xdr:col>8</xdr:col>
                <xdr:colOff>561975</xdr:colOff>
                <xdr:row>7</xdr:row>
                <xdr:rowOff>133350</xdr:rowOff>
              </from>
              <to>
                <xdr:col>11</xdr:col>
                <xdr:colOff>9525</xdr:colOff>
                <xdr:row>9</xdr:row>
                <xdr:rowOff>142875</xdr:rowOff>
              </to>
            </anchor>
          </controlPr>
        </control>
      </mc:Choice>
      <mc:Fallback>
        <control shapeId="2054" r:id="rId9" name="btn종목목록"/>
      </mc:Fallback>
    </mc:AlternateContent>
    <mc:AlternateContent xmlns:mc="http://schemas.openxmlformats.org/markup-compatibility/2006">
      <mc:Choice Requires="x14">
        <control shapeId="2055" r:id="rId11" name="btn선수등록">
          <controlPr defaultSize="0" disabled="1" autoLine="0" r:id="rId12">
            <anchor moveWithCells="1">
              <from>
                <xdr:col>8</xdr:col>
                <xdr:colOff>552450</xdr:colOff>
                <xdr:row>10</xdr:row>
                <xdr:rowOff>57150</xdr:rowOff>
              </from>
              <to>
                <xdr:col>11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2055" r:id="rId11" name="btn선수등록"/>
      </mc:Fallback>
    </mc:AlternateContent>
    <mc:AlternateContent xmlns:mc="http://schemas.openxmlformats.org/markup-compatibility/2006">
      <mc:Choice Requires="x14">
        <control shapeId="2056" r:id="rId13" name="btn경기현황">
          <controlPr defaultSize="0" autoLine="0" r:id="rId14">
            <anchor moveWithCells="1">
              <from>
                <xdr:col>8</xdr:col>
                <xdr:colOff>552450</xdr:colOff>
                <xdr:row>13</xdr:row>
                <xdr:rowOff>0</xdr:rowOff>
              </from>
              <to>
                <xdr:col>11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2056" r:id="rId13" name="btn경기현황"/>
      </mc:Fallback>
    </mc:AlternateContent>
    <mc:AlternateContent xmlns:mc="http://schemas.openxmlformats.org/markup-compatibility/2006">
      <mc:Choice Requires="x14">
        <control shapeId="2057" r:id="rId15" name="btn종료">
          <controlPr defaultSize="0" autoLine="0" r:id="rId16">
            <anchor moveWithCells="1">
              <from>
                <xdr:col>8</xdr:col>
                <xdr:colOff>552450</xdr:colOff>
                <xdr:row>15</xdr:row>
                <xdr:rowOff>152400</xdr:rowOff>
              </from>
              <to>
                <xdr:col>11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57" r:id="rId15" name="btn종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B5E9-9761-4F69-85D1-B9A7C2AD5B03}">
  <sheetPr codeName="Sheet2"/>
  <dimension ref="A1:H43"/>
  <sheetViews>
    <sheetView zoomScaleNormal="100" workbookViewId="0">
      <selection activeCell="I10" sqref="I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5</v>
      </c>
      <c r="C2" s="1">
        <v>36115</v>
      </c>
      <c r="D2">
        <v>21</v>
      </c>
      <c r="E2" t="s">
        <v>6</v>
      </c>
      <c r="H2" t="s">
        <v>126</v>
      </c>
    </row>
    <row r="3" spans="1:8" x14ac:dyDescent="0.3">
      <c r="A3">
        <v>2</v>
      </c>
      <c r="B3" t="s">
        <v>7</v>
      </c>
      <c r="C3" s="1">
        <v>36889</v>
      </c>
      <c r="D3">
        <v>19</v>
      </c>
      <c r="E3" t="s">
        <v>8</v>
      </c>
    </row>
    <row r="4" spans="1:8" x14ac:dyDescent="0.3">
      <c r="A4">
        <v>3</v>
      </c>
      <c r="B4" t="s">
        <v>9</v>
      </c>
      <c r="C4" s="1">
        <v>36340</v>
      </c>
      <c r="D4">
        <v>21</v>
      </c>
      <c r="E4" t="s">
        <v>8</v>
      </c>
    </row>
    <row r="5" spans="1:8" x14ac:dyDescent="0.3">
      <c r="A5">
        <v>4</v>
      </c>
      <c r="B5" t="s">
        <v>10</v>
      </c>
      <c r="C5" s="1">
        <v>36069</v>
      </c>
      <c r="D5">
        <v>21</v>
      </c>
      <c r="E5" t="s">
        <v>8</v>
      </c>
    </row>
    <row r="6" spans="1:8" x14ac:dyDescent="0.3">
      <c r="A6">
        <v>5</v>
      </c>
      <c r="B6" t="s">
        <v>11</v>
      </c>
      <c r="C6" s="1">
        <v>35877</v>
      </c>
      <c r="D6">
        <v>22</v>
      </c>
      <c r="E6" t="s">
        <v>8</v>
      </c>
    </row>
    <row r="7" spans="1:8" x14ac:dyDescent="0.3">
      <c r="A7">
        <v>6</v>
      </c>
      <c r="B7" t="s">
        <v>12</v>
      </c>
      <c r="C7" s="1">
        <v>36866</v>
      </c>
      <c r="D7">
        <v>19</v>
      </c>
      <c r="E7" t="s">
        <v>8</v>
      </c>
    </row>
    <row r="8" spans="1:8" x14ac:dyDescent="0.3">
      <c r="A8">
        <v>7</v>
      </c>
      <c r="B8" t="s">
        <v>13</v>
      </c>
      <c r="C8" s="1">
        <v>35964</v>
      </c>
      <c r="D8">
        <v>22</v>
      </c>
      <c r="E8" t="s">
        <v>8</v>
      </c>
    </row>
    <row r="9" spans="1:8" x14ac:dyDescent="0.3">
      <c r="A9">
        <v>8</v>
      </c>
      <c r="B9" t="s">
        <v>14</v>
      </c>
      <c r="C9" s="1">
        <v>36369</v>
      </c>
      <c r="D9">
        <v>20</v>
      </c>
      <c r="E9" t="s">
        <v>8</v>
      </c>
    </row>
    <row r="10" spans="1:8" x14ac:dyDescent="0.3">
      <c r="A10">
        <v>9</v>
      </c>
      <c r="B10" t="s">
        <v>15</v>
      </c>
      <c r="C10" s="1">
        <v>35880</v>
      </c>
      <c r="D10">
        <v>22</v>
      </c>
      <c r="E10" t="s">
        <v>8</v>
      </c>
    </row>
    <row r="11" spans="1:8" x14ac:dyDescent="0.3">
      <c r="A11">
        <v>10</v>
      </c>
      <c r="B11" t="s">
        <v>16</v>
      </c>
      <c r="C11" s="1">
        <v>36340</v>
      </c>
      <c r="D11">
        <v>21</v>
      </c>
      <c r="E11" t="s">
        <v>8</v>
      </c>
    </row>
    <row r="12" spans="1:8" x14ac:dyDescent="0.3">
      <c r="A12">
        <v>11</v>
      </c>
      <c r="B12" t="s">
        <v>17</v>
      </c>
      <c r="C12" s="1">
        <v>36151</v>
      </c>
      <c r="D12">
        <v>21</v>
      </c>
      <c r="E12" t="s">
        <v>8</v>
      </c>
    </row>
    <row r="13" spans="1:8" x14ac:dyDescent="0.3">
      <c r="A13">
        <v>12</v>
      </c>
      <c r="B13" t="s">
        <v>18</v>
      </c>
      <c r="C13" s="1">
        <v>36641</v>
      </c>
      <c r="D13">
        <v>20</v>
      </c>
      <c r="E13" t="s">
        <v>8</v>
      </c>
    </row>
    <row r="14" spans="1:8" x14ac:dyDescent="0.3">
      <c r="A14">
        <v>13</v>
      </c>
      <c r="B14" t="s">
        <v>19</v>
      </c>
      <c r="C14" s="1">
        <v>36132</v>
      </c>
      <c r="D14">
        <v>21</v>
      </c>
      <c r="E14" t="s">
        <v>8</v>
      </c>
    </row>
    <row r="15" spans="1:8" x14ac:dyDescent="0.3">
      <c r="A15">
        <v>14</v>
      </c>
      <c r="B15" t="s">
        <v>20</v>
      </c>
      <c r="C15" s="1">
        <v>36027</v>
      </c>
      <c r="D15">
        <v>21</v>
      </c>
      <c r="E15" t="s">
        <v>6</v>
      </c>
    </row>
    <row r="16" spans="1:8" x14ac:dyDescent="0.3">
      <c r="A16">
        <v>15</v>
      </c>
      <c r="B16" t="s">
        <v>21</v>
      </c>
      <c r="C16" s="1">
        <v>36658</v>
      </c>
      <c r="D16">
        <v>20</v>
      </c>
      <c r="E16" t="s">
        <v>8</v>
      </c>
    </row>
    <row r="17" spans="1:5" x14ac:dyDescent="0.3">
      <c r="A17">
        <v>16</v>
      </c>
      <c r="B17" t="s">
        <v>22</v>
      </c>
      <c r="C17" s="1">
        <v>36775</v>
      </c>
      <c r="D17">
        <v>19</v>
      </c>
      <c r="E17" t="s">
        <v>8</v>
      </c>
    </row>
    <row r="18" spans="1:5" x14ac:dyDescent="0.3">
      <c r="A18">
        <v>17</v>
      </c>
      <c r="B18" t="s">
        <v>23</v>
      </c>
      <c r="C18" s="1">
        <v>36290</v>
      </c>
      <c r="D18">
        <v>21</v>
      </c>
      <c r="E18" t="s">
        <v>8</v>
      </c>
    </row>
    <row r="19" spans="1:5" x14ac:dyDescent="0.3">
      <c r="A19">
        <v>18</v>
      </c>
      <c r="B19" t="s">
        <v>24</v>
      </c>
      <c r="C19" s="1">
        <v>36694</v>
      </c>
      <c r="D19">
        <v>20</v>
      </c>
      <c r="E19" t="s">
        <v>8</v>
      </c>
    </row>
    <row r="20" spans="1:5" x14ac:dyDescent="0.3">
      <c r="A20">
        <v>19</v>
      </c>
      <c r="B20" t="s">
        <v>25</v>
      </c>
      <c r="C20" s="1">
        <v>36423</v>
      </c>
      <c r="D20">
        <v>20</v>
      </c>
      <c r="E20" t="s">
        <v>8</v>
      </c>
    </row>
    <row r="21" spans="1:5" x14ac:dyDescent="0.3">
      <c r="A21">
        <v>20</v>
      </c>
      <c r="B21" t="s">
        <v>26</v>
      </c>
      <c r="C21" s="1">
        <v>36776</v>
      </c>
      <c r="D21">
        <v>19</v>
      </c>
      <c r="E21" t="s">
        <v>8</v>
      </c>
    </row>
    <row r="22" spans="1:5" x14ac:dyDescent="0.3">
      <c r="A22">
        <v>21</v>
      </c>
      <c r="B22" t="s">
        <v>27</v>
      </c>
      <c r="C22" s="1">
        <v>36134</v>
      </c>
      <c r="D22">
        <v>21</v>
      </c>
      <c r="E22" t="s">
        <v>8</v>
      </c>
    </row>
    <row r="23" spans="1:5" x14ac:dyDescent="0.3">
      <c r="A23">
        <v>22</v>
      </c>
      <c r="B23" t="s">
        <v>28</v>
      </c>
      <c r="C23" s="1">
        <v>35968</v>
      </c>
      <c r="D23">
        <v>22</v>
      </c>
      <c r="E23" t="s">
        <v>8</v>
      </c>
    </row>
    <row r="24" spans="1:5" x14ac:dyDescent="0.3">
      <c r="A24">
        <v>23</v>
      </c>
      <c r="B24" t="s">
        <v>29</v>
      </c>
      <c r="C24" s="1">
        <v>36281</v>
      </c>
      <c r="D24">
        <v>21</v>
      </c>
      <c r="E24" t="s">
        <v>8</v>
      </c>
    </row>
    <row r="25" spans="1:5" x14ac:dyDescent="0.3">
      <c r="A25">
        <v>24</v>
      </c>
      <c r="B25" t="s">
        <v>30</v>
      </c>
      <c r="C25" s="1">
        <v>36678</v>
      </c>
      <c r="D25">
        <v>20</v>
      </c>
      <c r="E25" t="s">
        <v>8</v>
      </c>
    </row>
    <row r="26" spans="1:5" x14ac:dyDescent="0.3">
      <c r="A26">
        <v>25</v>
      </c>
      <c r="B26" t="s">
        <v>31</v>
      </c>
      <c r="C26" s="1">
        <v>36248</v>
      </c>
      <c r="D26">
        <v>21</v>
      </c>
      <c r="E26" t="s">
        <v>6</v>
      </c>
    </row>
    <row r="27" spans="1:5" x14ac:dyDescent="0.3">
      <c r="A27">
        <v>26</v>
      </c>
      <c r="B27" t="s">
        <v>32</v>
      </c>
      <c r="C27" s="1">
        <v>36237</v>
      </c>
      <c r="D27">
        <v>21</v>
      </c>
      <c r="E27" t="s">
        <v>8</v>
      </c>
    </row>
    <row r="28" spans="1:5" x14ac:dyDescent="0.3">
      <c r="A28">
        <v>27</v>
      </c>
      <c r="B28" t="s">
        <v>33</v>
      </c>
      <c r="C28" s="1">
        <v>36431</v>
      </c>
      <c r="D28">
        <v>20</v>
      </c>
      <c r="E28" t="s">
        <v>8</v>
      </c>
    </row>
    <row r="29" spans="1:5" x14ac:dyDescent="0.3">
      <c r="A29">
        <v>28</v>
      </c>
      <c r="B29" t="s">
        <v>34</v>
      </c>
      <c r="C29" s="1">
        <v>36339</v>
      </c>
      <c r="D29">
        <v>21</v>
      </c>
      <c r="E29" t="s">
        <v>8</v>
      </c>
    </row>
    <row r="30" spans="1:5" x14ac:dyDescent="0.3">
      <c r="A30">
        <v>29</v>
      </c>
      <c r="B30" t="s">
        <v>35</v>
      </c>
      <c r="C30" s="1">
        <v>36626</v>
      </c>
      <c r="D30">
        <v>20</v>
      </c>
      <c r="E30" t="s">
        <v>8</v>
      </c>
    </row>
    <row r="31" spans="1:5" x14ac:dyDescent="0.3">
      <c r="A31">
        <v>30</v>
      </c>
      <c r="B31" t="s">
        <v>36</v>
      </c>
      <c r="C31" s="1">
        <v>35900</v>
      </c>
      <c r="D31">
        <v>22</v>
      </c>
      <c r="E31" t="s">
        <v>6</v>
      </c>
    </row>
    <row r="32" spans="1:5" x14ac:dyDescent="0.3">
      <c r="A32">
        <v>31</v>
      </c>
      <c r="B32" t="s">
        <v>37</v>
      </c>
      <c r="C32" s="1">
        <v>36476</v>
      </c>
      <c r="D32">
        <v>20</v>
      </c>
      <c r="E32" t="s">
        <v>6</v>
      </c>
    </row>
    <row r="33" spans="1:5" x14ac:dyDescent="0.3">
      <c r="A33">
        <v>32</v>
      </c>
      <c r="B33" t="s">
        <v>38</v>
      </c>
      <c r="C33" s="1">
        <v>35931</v>
      </c>
      <c r="D33">
        <v>22</v>
      </c>
      <c r="E33" t="s">
        <v>8</v>
      </c>
    </row>
    <row r="34" spans="1:5" x14ac:dyDescent="0.3">
      <c r="A34">
        <v>33</v>
      </c>
      <c r="B34" t="s">
        <v>39</v>
      </c>
      <c r="C34" s="1">
        <v>36602</v>
      </c>
      <c r="D34">
        <v>20</v>
      </c>
      <c r="E34" t="s">
        <v>8</v>
      </c>
    </row>
    <row r="35" spans="1:5" x14ac:dyDescent="0.3">
      <c r="A35">
        <v>34</v>
      </c>
      <c r="B35" t="s">
        <v>40</v>
      </c>
      <c r="C35" s="1">
        <v>36305</v>
      </c>
      <c r="D35">
        <v>21</v>
      </c>
      <c r="E35" t="s">
        <v>8</v>
      </c>
    </row>
    <row r="36" spans="1:5" x14ac:dyDescent="0.3">
      <c r="A36">
        <v>35</v>
      </c>
      <c r="B36" t="s">
        <v>41</v>
      </c>
      <c r="C36" s="1">
        <v>36742</v>
      </c>
      <c r="D36">
        <v>19</v>
      </c>
      <c r="E36" t="s">
        <v>8</v>
      </c>
    </row>
    <row r="37" spans="1:5" x14ac:dyDescent="0.3">
      <c r="A37">
        <v>36</v>
      </c>
      <c r="B37" t="s">
        <v>42</v>
      </c>
      <c r="C37" s="1">
        <v>36422</v>
      </c>
      <c r="D37">
        <v>20</v>
      </c>
      <c r="E37" t="s">
        <v>8</v>
      </c>
    </row>
    <row r="38" spans="1:5" x14ac:dyDescent="0.3">
      <c r="A38">
        <v>37</v>
      </c>
      <c r="B38" t="s">
        <v>43</v>
      </c>
      <c r="C38" s="1">
        <v>36182</v>
      </c>
      <c r="D38">
        <v>21</v>
      </c>
      <c r="E38" t="s">
        <v>8</v>
      </c>
    </row>
    <row r="39" spans="1:5" x14ac:dyDescent="0.3">
      <c r="A39">
        <v>38</v>
      </c>
      <c r="B39" t="s">
        <v>44</v>
      </c>
      <c r="C39" s="1">
        <v>36742</v>
      </c>
      <c r="D39">
        <v>19</v>
      </c>
      <c r="E39" t="s">
        <v>8</v>
      </c>
    </row>
    <row r="40" spans="1:5" x14ac:dyDescent="0.3">
      <c r="A40">
        <v>39</v>
      </c>
      <c r="B40" t="s">
        <v>45</v>
      </c>
      <c r="C40" s="1">
        <v>36476</v>
      </c>
      <c r="D40">
        <v>20</v>
      </c>
      <c r="E40" t="s">
        <v>8</v>
      </c>
    </row>
    <row r="41" spans="1:5" x14ac:dyDescent="0.3">
      <c r="A41">
        <v>40</v>
      </c>
      <c r="B41" t="s">
        <v>46</v>
      </c>
      <c r="C41" s="1">
        <v>36602</v>
      </c>
      <c r="D41">
        <v>20</v>
      </c>
      <c r="E41" t="s">
        <v>8</v>
      </c>
    </row>
    <row r="42" spans="1:5" x14ac:dyDescent="0.3">
      <c r="A42">
        <v>41</v>
      </c>
      <c r="B42" t="s">
        <v>47</v>
      </c>
      <c r="C42" s="1">
        <v>36161</v>
      </c>
      <c r="D42">
        <v>21</v>
      </c>
      <c r="E42" t="s">
        <v>6</v>
      </c>
    </row>
    <row r="43" spans="1:5" x14ac:dyDescent="0.3">
      <c r="A43">
        <v>42</v>
      </c>
      <c r="B43" t="s">
        <v>48</v>
      </c>
      <c r="C43" s="1">
        <v>36526</v>
      </c>
      <c r="D43">
        <v>20</v>
      </c>
      <c r="E43" t="s">
        <v>6</v>
      </c>
    </row>
  </sheetData>
  <phoneticPr fontId="1" type="noConversion"/>
  <conditionalFormatting sqref="A2:E1048576">
    <cfRule type="expression" dxfId="1" priority="1">
      <formula>$A2&lt;&gt;""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4BA2F-4845-44D3-9CE9-C9B0B8586B97}">
  <sheetPr codeName="Sheet3"/>
  <dimension ref="A1:H50"/>
  <sheetViews>
    <sheetView workbookViewId="0">
      <selection activeCell="E10" sqref="E10"/>
    </sheetView>
  </sheetViews>
  <sheetFormatPr defaultRowHeight="16.5" x14ac:dyDescent="0.3"/>
  <cols>
    <col min="3" max="3" width="11.12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125</v>
      </c>
    </row>
    <row r="2" spans="1:8" x14ac:dyDescent="0.3">
      <c r="A2">
        <v>1</v>
      </c>
      <c r="B2" t="s">
        <v>49</v>
      </c>
      <c r="C2" s="1">
        <v>36837</v>
      </c>
      <c r="D2">
        <v>19</v>
      </c>
      <c r="E2" t="s">
        <v>6</v>
      </c>
      <c r="H2" t="s">
        <v>127</v>
      </c>
    </row>
    <row r="3" spans="1:8" x14ac:dyDescent="0.3">
      <c r="A3">
        <v>2</v>
      </c>
      <c r="B3" t="s">
        <v>50</v>
      </c>
      <c r="C3" s="1">
        <v>36741</v>
      </c>
      <c r="D3">
        <v>19</v>
      </c>
      <c r="E3" t="s">
        <v>8</v>
      </c>
    </row>
    <row r="4" spans="1:8" x14ac:dyDescent="0.3">
      <c r="A4">
        <v>3</v>
      </c>
      <c r="B4" t="s">
        <v>51</v>
      </c>
      <c r="C4" s="1">
        <v>35840</v>
      </c>
      <c r="D4">
        <v>22</v>
      </c>
      <c r="E4" t="s">
        <v>8</v>
      </c>
    </row>
    <row r="5" spans="1:8" x14ac:dyDescent="0.3">
      <c r="A5">
        <v>4</v>
      </c>
      <c r="B5" t="s">
        <v>52</v>
      </c>
      <c r="C5" s="1">
        <v>36615</v>
      </c>
      <c r="D5">
        <v>20</v>
      </c>
      <c r="E5" t="s">
        <v>8</v>
      </c>
    </row>
    <row r="6" spans="1:8" x14ac:dyDescent="0.3">
      <c r="A6">
        <v>5</v>
      </c>
      <c r="B6" t="s">
        <v>53</v>
      </c>
      <c r="C6" s="1">
        <v>36811</v>
      </c>
      <c r="D6">
        <v>19</v>
      </c>
      <c r="E6" t="s">
        <v>8</v>
      </c>
    </row>
    <row r="7" spans="1:8" x14ac:dyDescent="0.3">
      <c r="A7">
        <v>6</v>
      </c>
      <c r="B7" t="s">
        <v>54</v>
      </c>
      <c r="C7" s="1">
        <v>36122</v>
      </c>
      <c r="D7">
        <v>21</v>
      </c>
      <c r="E7" t="s">
        <v>8</v>
      </c>
    </row>
    <row r="8" spans="1:8" x14ac:dyDescent="0.3">
      <c r="A8">
        <v>7</v>
      </c>
      <c r="B8" t="s">
        <v>55</v>
      </c>
      <c r="C8" s="1">
        <v>35869</v>
      </c>
      <c r="D8">
        <v>22</v>
      </c>
      <c r="E8" t="s">
        <v>6</v>
      </c>
    </row>
    <row r="9" spans="1:8" x14ac:dyDescent="0.3">
      <c r="A9">
        <v>8</v>
      </c>
      <c r="B9" t="s">
        <v>56</v>
      </c>
      <c r="C9" s="1">
        <v>35893</v>
      </c>
      <c r="D9">
        <v>22</v>
      </c>
      <c r="E9" t="s">
        <v>8</v>
      </c>
    </row>
    <row r="10" spans="1:8" x14ac:dyDescent="0.3">
      <c r="A10">
        <v>9</v>
      </c>
      <c r="B10" t="s">
        <v>57</v>
      </c>
      <c r="C10" s="1">
        <v>36520</v>
      </c>
      <c r="D10">
        <v>20</v>
      </c>
      <c r="E10" t="s">
        <v>8</v>
      </c>
    </row>
    <row r="11" spans="1:8" x14ac:dyDescent="0.3">
      <c r="A11">
        <v>10</v>
      </c>
      <c r="B11" t="s">
        <v>58</v>
      </c>
      <c r="C11" s="1">
        <v>36075</v>
      </c>
      <c r="D11">
        <v>21</v>
      </c>
      <c r="E11" t="s">
        <v>8</v>
      </c>
    </row>
    <row r="12" spans="1:8" x14ac:dyDescent="0.3">
      <c r="A12">
        <v>11</v>
      </c>
      <c r="B12" t="s">
        <v>59</v>
      </c>
      <c r="C12" s="1">
        <v>36239</v>
      </c>
      <c r="D12">
        <v>21</v>
      </c>
      <c r="E12" t="s">
        <v>8</v>
      </c>
    </row>
    <row r="13" spans="1:8" x14ac:dyDescent="0.3">
      <c r="A13">
        <v>12</v>
      </c>
      <c r="B13" t="s">
        <v>60</v>
      </c>
      <c r="C13" s="1">
        <v>36651</v>
      </c>
      <c r="D13">
        <v>20</v>
      </c>
      <c r="E13" t="s">
        <v>8</v>
      </c>
    </row>
    <row r="14" spans="1:8" x14ac:dyDescent="0.3">
      <c r="A14">
        <v>13</v>
      </c>
      <c r="B14" t="s">
        <v>61</v>
      </c>
      <c r="C14" s="1">
        <v>36365</v>
      </c>
      <c r="D14">
        <v>20</v>
      </c>
      <c r="E14" t="s">
        <v>8</v>
      </c>
    </row>
    <row r="15" spans="1:8" x14ac:dyDescent="0.3">
      <c r="A15">
        <v>14</v>
      </c>
      <c r="B15" t="s">
        <v>62</v>
      </c>
      <c r="C15" s="1">
        <v>36766</v>
      </c>
      <c r="D15">
        <v>19</v>
      </c>
      <c r="E15" t="s">
        <v>8</v>
      </c>
    </row>
    <row r="16" spans="1:8" x14ac:dyDescent="0.3">
      <c r="A16">
        <v>15</v>
      </c>
      <c r="B16" t="s">
        <v>63</v>
      </c>
      <c r="C16" s="1">
        <v>36766</v>
      </c>
      <c r="D16">
        <v>19</v>
      </c>
      <c r="E16" t="s">
        <v>8</v>
      </c>
    </row>
    <row r="17" spans="1:5" x14ac:dyDescent="0.3">
      <c r="A17">
        <v>16</v>
      </c>
      <c r="B17" t="s">
        <v>64</v>
      </c>
      <c r="C17" s="1">
        <v>36520</v>
      </c>
      <c r="D17">
        <v>20</v>
      </c>
      <c r="E17" t="s">
        <v>8</v>
      </c>
    </row>
    <row r="18" spans="1:5" x14ac:dyDescent="0.3">
      <c r="A18">
        <v>17</v>
      </c>
      <c r="B18" t="s">
        <v>65</v>
      </c>
      <c r="C18" s="1">
        <v>35878</v>
      </c>
      <c r="D18">
        <v>22</v>
      </c>
      <c r="E18" t="s">
        <v>6</v>
      </c>
    </row>
    <row r="19" spans="1:5" x14ac:dyDescent="0.3">
      <c r="A19">
        <v>18</v>
      </c>
      <c r="B19" t="s">
        <v>66</v>
      </c>
      <c r="C19" s="1">
        <v>35807</v>
      </c>
      <c r="D19">
        <v>22</v>
      </c>
      <c r="E19" t="s">
        <v>6</v>
      </c>
    </row>
    <row r="20" spans="1:5" x14ac:dyDescent="0.3">
      <c r="A20">
        <v>19</v>
      </c>
      <c r="B20" t="s">
        <v>67</v>
      </c>
      <c r="C20" s="1">
        <v>36203</v>
      </c>
      <c r="D20">
        <v>21</v>
      </c>
      <c r="E20" t="s">
        <v>8</v>
      </c>
    </row>
    <row r="21" spans="1:5" x14ac:dyDescent="0.3">
      <c r="A21">
        <v>20</v>
      </c>
      <c r="B21" t="s">
        <v>68</v>
      </c>
      <c r="C21" s="1">
        <v>36521</v>
      </c>
      <c r="D21">
        <v>20</v>
      </c>
      <c r="E21" t="s">
        <v>8</v>
      </c>
    </row>
    <row r="22" spans="1:5" x14ac:dyDescent="0.3">
      <c r="A22">
        <v>21</v>
      </c>
      <c r="B22" t="s">
        <v>69</v>
      </c>
      <c r="C22" s="1">
        <v>36216</v>
      </c>
      <c r="D22">
        <v>21</v>
      </c>
      <c r="E22" t="s">
        <v>8</v>
      </c>
    </row>
    <row r="23" spans="1:5" x14ac:dyDescent="0.3">
      <c r="A23">
        <v>22</v>
      </c>
      <c r="B23" t="s">
        <v>70</v>
      </c>
      <c r="C23" s="1">
        <v>36104</v>
      </c>
      <c r="D23">
        <v>21</v>
      </c>
      <c r="E23" t="s">
        <v>8</v>
      </c>
    </row>
    <row r="24" spans="1:5" x14ac:dyDescent="0.3">
      <c r="A24">
        <v>23</v>
      </c>
      <c r="B24" t="s">
        <v>71</v>
      </c>
      <c r="C24" s="1">
        <v>36104</v>
      </c>
      <c r="D24">
        <v>21</v>
      </c>
      <c r="E24" t="s">
        <v>6</v>
      </c>
    </row>
    <row r="25" spans="1:5" x14ac:dyDescent="0.3">
      <c r="A25">
        <v>24</v>
      </c>
      <c r="B25" t="s">
        <v>72</v>
      </c>
      <c r="C25" s="1">
        <v>36681</v>
      </c>
      <c r="D25">
        <v>20</v>
      </c>
      <c r="E25" t="s">
        <v>8</v>
      </c>
    </row>
    <row r="26" spans="1:5" x14ac:dyDescent="0.3">
      <c r="A26">
        <v>25</v>
      </c>
      <c r="B26" t="s">
        <v>73</v>
      </c>
      <c r="C26" s="1">
        <v>36089</v>
      </c>
      <c r="D26">
        <v>21</v>
      </c>
      <c r="E26" t="s">
        <v>8</v>
      </c>
    </row>
    <row r="27" spans="1:5" x14ac:dyDescent="0.3">
      <c r="A27">
        <v>26</v>
      </c>
      <c r="B27" t="s">
        <v>74</v>
      </c>
      <c r="C27" s="1">
        <v>36286</v>
      </c>
      <c r="D27">
        <v>21</v>
      </c>
      <c r="E27" t="s">
        <v>8</v>
      </c>
    </row>
    <row r="28" spans="1:5" x14ac:dyDescent="0.3">
      <c r="A28">
        <v>27</v>
      </c>
      <c r="B28" t="s">
        <v>75</v>
      </c>
      <c r="C28" s="1">
        <v>36507</v>
      </c>
      <c r="D28">
        <v>20</v>
      </c>
      <c r="E28" t="s">
        <v>6</v>
      </c>
    </row>
    <row r="29" spans="1:5" x14ac:dyDescent="0.3">
      <c r="A29">
        <v>28</v>
      </c>
      <c r="B29" t="s">
        <v>76</v>
      </c>
      <c r="C29" s="1">
        <v>35804</v>
      </c>
      <c r="D29">
        <v>22</v>
      </c>
      <c r="E29" t="s">
        <v>8</v>
      </c>
    </row>
    <row r="30" spans="1:5" x14ac:dyDescent="0.3">
      <c r="A30">
        <v>29</v>
      </c>
      <c r="B30" t="s">
        <v>77</v>
      </c>
      <c r="C30" s="1">
        <v>36810</v>
      </c>
      <c r="D30">
        <v>19</v>
      </c>
      <c r="E30" t="s">
        <v>8</v>
      </c>
    </row>
    <row r="31" spans="1:5" x14ac:dyDescent="0.3">
      <c r="A31">
        <v>30</v>
      </c>
      <c r="B31" t="s">
        <v>78</v>
      </c>
      <c r="C31" s="1">
        <v>36709</v>
      </c>
      <c r="D31">
        <v>19</v>
      </c>
      <c r="E31" t="s">
        <v>8</v>
      </c>
    </row>
    <row r="32" spans="1:5" x14ac:dyDescent="0.3">
      <c r="A32">
        <v>31</v>
      </c>
      <c r="B32" t="s">
        <v>79</v>
      </c>
      <c r="C32" s="1">
        <v>36173</v>
      </c>
      <c r="D32">
        <v>21</v>
      </c>
      <c r="E32" t="s">
        <v>8</v>
      </c>
    </row>
    <row r="33" spans="1:5" x14ac:dyDescent="0.3">
      <c r="A33">
        <v>32</v>
      </c>
      <c r="B33" t="s">
        <v>80</v>
      </c>
      <c r="C33" s="1">
        <v>36714</v>
      </c>
      <c r="D33">
        <v>19</v>
      </c>
      <c r="E33" t="s">
        <v>8</v>
      </c>
    </row>
    <row r="34" spans="1:5" x14ac:dyDescent="0.3">
      <c r="A34">
        <v>33</v>
      </c>
      <c r="B34" t="s">
        <v>81</v>
      </c>
      <c r="C34" s="1">
        <v>36377</v>
      </c>
      <c r="D34">
        <v>20</v>
      </c>
      <c r="E34" t="s">
        <v>8</v>
      </c>
    </row>
    <row r="35" spans="1:5" x14ac:dyDescent="0.3">
      <c r="A35">
        <v>34</v>
      </c>
      <c r="B35" t="s">
        <v>82</v>
      </c>
      <c r="C35" s="1">
        <v>36708</v>
      </c>
      <c r="D35">
        <v>19</v>
      </c>
      <c r="E35" t="s">
        <v>8</v>
      </c>
    </row>
    <row r="36" spans="1:5" x14ac:dyDescent="0.3">
      <c r="A36">
        <v>35</v>
      </c>
      <c r="B36" t="s">
        <v>83</v>
      </c>
      <c r="C36" s="1">
        <v>36373</v>
      </c>
      <c r="D36">
        <v>20</v>
      </c>
      <c r="E36" t="s">
        <v>8</v>
      </c>
    </row>
    <row r="37" spans="1:5" x14ac:dyDescent="0.3">
      <c r="A37">
        <v>36</v>
      </c>
      <c r="B37" t="s">
        <v>84</v>
      </c>
      <c r="C37" s="1">
        <v>36260</v>
      </c>
      <c r="D37">
        <v>21</v>
      </c>
      <c r="E37" t="s">
        <v>8</v>
      </c>
    </row>
    <row r="38" spans="1:5" x14ac:dyDescent="0.3">
      <c r="A38">
        <v>37</v>
      </c>
      <c r="B38" t="s">
        <v>85</v>
      </c>
      <c r="C38" s="1">
        <v>36282</v>
      </c>
      <c r="D38">
        <v>21</v>
      </c>
      <c r="E38" t="s">
        <v>8</v>
      </c>
    </row>
    <row r="39" spans="1:5" x14ac:dyDescent="0.3">
      <c r="A39">
        <v>38</v>
      </c>
      <c r="B39" t="s">
        <v>86</v>
      </c>
      <c r="C39" s="1">
        <v>35904</v>
      </c>
      <c r="D39">
        <v>22</v>
      </c>
      <c r="E39" t="s">
        <v>8</v>
      </c>
    </row>
    <row r="40" spans="1:5" x14ac:dyDescent="0.3">
      <c r="A40">
        <v>39</v>
      </c>
      <c r="B40" t="s">
        <v>87</v>
      </c>
      <c r="C40" s="1">
        <v>36475</v>
      </c>
      <c r="D40">
        <v>20</v>
      </c>
      <c r="E40" t="s">
        <v>8</v>
      </c>
    </row>
    <row r="41" spans="1:5" x14ac:dyDescent="0.3">
      <c r="A41">
        <v>40</v>
      </c>
      <c r="B41" t="s">
        <v>68</v>
      </c>
      <c r="C41" s="1">
        <v>35991</v>
      </c>
      <c r="D41">
        <v>21</v>
      </c>
      <c r="E41" t="s">
        <v>8</v>
      </c>
    </row>
    <row r="42" spans="1:5" x14ac:dyDescent="0.3">
      <c r="A42">
        <v>41</v>
      </c>
      <c r="B42" t="s">
        <v>88</v>
      </c>
      <c r="C42" s="1">
        <v>36618</v>
      </c>
      <c r="D42">
        <v>20</v>
      </c>
      <c r="E42" t="s">
        <v>8</v>
      </c>
    </row>
    <row r="43" spans="1:5" x14ac:dyDescent="0.3">
      <c r="A43">
        <v>42</v>
      </c>
      <c r="B43" t="s">
        <v>89</v>
      </c>
      <c r="C43" s="1">
        <v>35909</v>
      </c>
      <c r="D43">
        <v>22</v>
      </c>
      <c r="E43" t="s">
        <v>8</v>
      </c>
    </row>
    <row r="44" spans="1:5" x14ac:dyDescent="0.3">
      <c r="A44">
        <v>43</v>
      </c>
      <c r="B44" t="s">
        <v>90</v>
      </c>
      <c r="C44" s="1">
        <v>35806</v>
      </c>
      <c r="D44">
        <v>22</v>
      </c>
      <c r="E44" t="s">
        <v>8</v>
      </c>
    </row>
    <row r="45" spans="1:5" x14ac:dyDescent="0.3">
      <c r="A45">
        <v>44</v>
      </c>
      <c r="B45" t="s">
        <v>91</v>
      </c>
      <c r="C45" s="1">
        <v>36206</v>
      </c>
      <c r="D45">
        <v>21</v>
      </c>
      <c r="E45" t="s">
        <v>8</v>
      </c>
    </row>
    <row r="46" spans="1:5" x14ac:dyDescent="0.3">
      <c r="A46">
        <v>45</v>
      </c>
      <c r="B46" t="s">
        <v>92</v>
      </c>
      <c r="C46" s="1">
        <v>36712</v>
      </c>
      <c r="D46">
        <v>19</v>
      </c>
      <c r="E46" t="s">
        <v>8</v>
      </c>
    </row>
    <row r="47" spans="1:5" x14ac:dyDescent="0.3">
      <c r="A47">
        <v>46</v>
      </c>
      <c r="B47" t="s">
        <v>93</v>
      </c>
      <c r="C47" s="1">
        <v>36115</v>
      </c>
      <c r="D47">
        <v>21</v>
      </c>
      <c r="E47" t="s">
        <v>8</v>
      </c>
    </row>
    <row r="48" spans="1:5" x14ac:dyDescent="0.3">
      <c r="A48">
        <v>47</v>
      </c>
      <c r="B48" t="s">
        <v>94</v>
      </c>
      <c r="C48" s="1">
        <v>36764</v>
      </c>
      <c r="D48">
        <v>19</v>
      </c>
      <c r="E48" t="s">
        <v>8</v>
      </c>
    </row>
    <row r="49" spans="1:5" x14ac:dyDescent="0.3">
      <c r="A49">
        <v>48</v>
      </c>
      <c r="B49" t="s">
        <v>95</v>
      </c>
      <c r="C49" s="1">
        <v>36678</v>
      </c>
      <c r="D49">
        <v>20</v>
      </c>
      <c r="E49" t="s">
        <v>8</v>
      </c>
    </row>
    <row r="50" spans="1:5" x14ac:dyDescent="0.3">
      <c r="A50">
        <v>49</v>
      </c>
      <c r="B50" t="s">
        <v>96</v>
      </c>
      <c r="C50" s="1">
        <v>36343</v>
      </c>
      <c r="D50">
        <v>20</v>
      </c>
      <c r="E50" t="s">
        <v>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82ED-FE21-42AD-BD9A-690BDF85748A}">
  <sheetPr codeName="Sheet4"/>
  <dimension ref="A1:G10"/>
  <sheetViews>
    <sheetView workbookViewId="0">
      <selection activeCell="F15" sqref="F15"/>
    </sheetView>
  </sheetViews>
  <sheetFormatPr defaultRowHeight="16.5" x14ac:dyDescent="0.3"/>
  <cols>
    <col min="2" max="2" width="11" bestFit="1" customWidth="1"/>
    <col min="3" max="3" width="12.375" bestFit="1" customWidth="1"/>
    <col min="4" max="5" width="11" bestFit="1" customWidth="1"/>
    <col min="6" max="6" width="37.5" bestFit="1" customWidth="1"/>
    <col min="7" max="7" width="35.25" bestFit="1" customWidth="1"/>
  </cols>
  <sheetData>
    <row r="1" spans="1:7" x14ac:dyDescent="0.3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102</v>
      </c>
    </row>
    <row r="2" spans="1:7" x14ac:dyDescent="0.3">
      <c r="A2">
        <v>1</v>
      </c>
      <c r="B2" t="s">
        <v>103</v>
      </c>
      <c r="C2">
        <v>50</v>
      </c>
      <c r="D2">
        <v>10</v>
      </c>
      <c r="E2">
        <v>50</v>
      </c>
      <c r="F2" t="s">
        <v>104</v>
      </c>
      <c r="G2" t="s">
        <v>105</v>
      </c>
    </row>
    <row r="3" spans="1:7" x14ac:dyDescent="0.3">
      <c r="A3">
        <v>2</v>
      </c>
      <c r="B3" t="s">
        <v>106</v>
      </c>
      <c r="C3">
        <v>40</v>
      </c>
      <c r="D3">
        <v>10</v>
      </c>
      <c r="E3">
        <v>50</v>
      </c>
      <c r="F3" t="s">
        <v>107</v>
      </c>
      <c r="G3" t="s">
        <v>108</v>
      </c>
    </row>
    <row r="4" spans="1:7" x14ac:dyDescent="0.3">
      <c r="A4">
        <v>3</v>
      </c>
      <c r="B4" t="s">
        <v>109</v>
      </c>
      <c r="C4">
        <v>30</v>
      </c>
      <c r="D4">
        <v>15</v>
      </c>
      <c r="E4">
        <v>100</v>
      </c>
      <c r="F4" t="s">
        <v>110</v>
      </c>
      <c r="G4" t="s">
        <v>111</v>
      </c>
    </row>
    <row r="5" spans="1:7" x14ac:dyDescent="0.3">
      <c r="A5">
        <v>4</v>
      </c>
      <c r="B5" t="s">
        <v>112</v>
      </c>
      <c r="C5">
        <v>30</v>
      </c>
      <c r="D5" t="s">
        <v>113</v>
      </c>
      <c r="E5">
        <v>200</v>
      </c>
      <c r="F5" t="s">
        <v>113</v>
      </c>
      <c r="G5" t="s">
        <v>113</v>
      </c>
    </row>
    <row r="6" spans="1:7" x14ac:dyDescent="0.3">
      <c r="A6">
        <v>5</v>
      </c>
      <c r="B6" t="s">
        <v>114</v>
      </c>
      <c r="C6">
        <v>80</v>
      </c>
      <c r="D6" t="s">
        <v>113</v>
      </c>
      <c r="E6">
        <v>0</v>
      </c>
      <c r="F6" t="s">
        <v>113</v>
      </c>
      <c r="G6" t="s">
        <v>113</v>
      </c>
    </row>
    <row r="7" spans="1:7" x14ac:dyDescent="0.3">
      <c r="A7">
        <v>6</v>
      </c>
      <c r="B7" t="s">
        <v>115</v>
      </c>
      <c r="C7">
        <v>40</v>
      </c>
      <c r="D7">
        <v>10</v>
      </c>
      <c r="E7">
        <v>50</v>
      </c>
      <c r="F7" t="s">
        <v>116</v>
      </c>
      <c r="G7" t="s">
        <v>117</v>
      </c>
    </row>
    <row r="8" spans="1:7" x14ac:dyDescent="0.3">
      <c r="A8">
        <v>7</v>
      </c>
      <c r="B8" t="s">
        <v>118</v>
      </c>
      <c r="C8">
        <v>40</v>
      </c>
      <c r="D8" t="s">
        <v>113</v>
      </c>
      <c r="E8">
        <v>200</v>
      </c>
      <c r="F8" t="s">
        <v>113</v>
      </c>
      <c r="G8" t="s">
        <v>113</v>
      </c>
    </row>
    <row r="9" spans="1:7" x14ac:dyDescent="0.3">
      <c r="A9">
        <v>8</v>
      </c>
      <c r="B9" t="s">
        <v>119</v>
      </c>
      <c r="C9">
        <v>40</v>
      </c>
      <c r="D9">
        <v>10</v>
      </c>
      <c r="E9">
        <v>150</v>
      </c>
      <c r="F9" t="s">
        <v>120</v>
      </c>
      <c r="G9" t="s">
        <v>121</v>
      </c>
    </row>
    <row r="10" spans="1:7" x14ac:dyDescent="0.3">
      <c r="A10">
        <v>9</v>
      </c>
      <c r="B10" t="s">
        <v>122</v>
      </c>
      <c r="C10">
        <v>40</v>
      </c>
      <c r="D10">
        <v>10</v>
      </c>
      <c r="E10">
        <v>50</v>
      </c>
      <c r="F10" t="s">
        <v>123</v>
      </c>
      <c r="G10" t="s">
        <v>124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38C-F3A7-45DE-A428-5BFC657D8072}">
  <sheetPr codeName="Sheet5"/>
  <dimension ref="A1"/>
  <sheetViews>
    <sheetView topLeftCell="A1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CEADF-71AA-40C4-BBAF-304CD25FC37E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369A-3930-4908-9AD5-9F25002D7A9C}">
  <sheetPr codeName="Sheet7"/>
  <dimension ref="A1:C14"/>
  <sheetViews>
    <sheetView workbookViewId="0">
      <selection sqref="A1:C6"/>
    </sheetView>
  </sheetViews>
  <sheetFormatPr defaultRowHeight="16.5" x14ac:dyDescent="0.3"/>
  <cols>
    <col min="1" max="1" width="11" bestFit="1" customWidth="1"/>
    <col min="2" max="3" width="9" style="3"/>
    <col min="6" max="6" width="11" bestFit="1" customWidth="1"/>
    <col min="14" max="15" width="11.875" bestFit="1" customWidth="1"/>
    <col min="16" max="17" width="5.875" bestFit="1" customWidth="1"/>
    <col min="18" max="19" width="7.375" bestFit="1" customWidth="1"/>
    <col min="20" max="20" width="10.25" bestFit="1" customWidth="1"/>
    <col min="21" max="21" width="9.125" bestFit="1" customWidth="1"/>
    <col min="22" max="22" width="10.25" bestFit="1" customWidth="1"/>
    <col min="23" max="23" width="13.875" bestFit="1" customWidth="1"/>
    <col min="24" max="24" width="15.125" bestFit="1" customWidth="1"/>
    <col min="25" max="25" width="9.125" bestFit="1" customWidth="1"/>
    <col min="26" max="26" width="10.25" bestFit="1" customWidth="1"/>
    <col min="27" max="27" width="14.25" bestFit="1" customWidth="1"/>
    <col min="28" max="28" width="15.5" bestFit="1" customWidth="1"/>
    <col min="29" max="29" width="9.125" bestFit="1" customWidth="1"/>
    <col min="30" max="30" width="10.25" bestFit="1" customWidth="1"/>
    <col min="31" max="31" width="14.25" bestFit="1" customWidth="1"/>
    <col min="32" max="32" width="15.5" bestFit="1" customWidth="1"/>
    <col min="33" max="33" width="13.875" bestFit="1" customWidth="1"/>
    <col min="34" max="34" width="15.125" bestFit="1" customWidth="1"/>
    <col min="35" max="35" width="8" bestFit="1" customWidth="1"/>
    <col min="36" max="36" width="9.875" bestFit="1" customWidth="1"/>
    <col min="37" max="37" width="10.25" bestFit="1" customWidth="1"/>
    <col min="38" max="38" width="7.375" bestFit="1" customWidth="1"/>
  </cols>
  <sheetData>
    <row r="1" spans="1:3" x14ac:dyDescent="0.3">
      <c r="A1" t="s">
        <v>131</v>
      </c>
      <c r="B1" t="s">
        <v>129</v>
      </c>
      <c r="C1" t="s">
        <v>132</v>
      </c>
    </row>
    <row r="2" spans="1:3" x14ac:dyDescent="0.3">
      <c r="A2" t="s">
        <v>133</v>
      </c>
      <c r="B2" s="3">
        <f>TIME(5,0,0)</f>
        <v>0.20833333333333334</v>
      </c>
      <c r="C2" s="3">
        <f>80/1440</f>
        <v>5.5555555555555552E-2</v>
      </c>
    </row>
    <row r="3" spans="1:3" x14ac:dyDescent="0.3">
      <c r="A3" t="s">
        <v>134</v>
      </c>
      <c r="B3" s="3">
        <f>IFERROR($B2+$C2,"null")</f>
        <v>0.2638888888888889</v>
      </c>
      <c r="C3" s="3">
        <f>40/1440</f>
        <v>2.7777777777777776E-2</v>
      </c>
    </row>
    <row r="4" spans="1:3" x14ac:dyDescent="0.3">
      <c r="A4" t="s">
        <v>130</v>
      </c>
      <c r="B4" s="3">
        <f t="shared" ref="B4:B6" si="0">IFERROR($B3+$C3,"null")</f>
        <v>0.29166666666666669</v>
      </c>
      <c r="C4" s="3">
        <f>60/1440</f>
        <v>4.1666666666666664E-2</v>
      </c>
    </row>
    <row r="5" spans="1:3" x14ac:dyDescent="0.3">
      <c r="A5" t="s">
        <v>135</v>
      </c>
      <c r="B5" s="3">
        <f t="shared" si="0"/>
        <v>0.33333333333333337</v>
      </c>
      <c r="C5" s="3">
        <f>60/1440</f>
        <v>4.1666666666666664E-2</v>
      </c>
    </row>
    <row r="6" spans="1:3" x14ac:dyDescent="0.3">
      <c r="A6" t="s">
        <v>136</v>
      </c>
      <c r="B6" s="3">
        <f t="shared" si="0"/>
        <v>0.37500000000000006</v>
      </c>
      <c r="C6" s="3">
        <f>60/1440</f>
        <v>4.1666666666666664E-2</v>
      </c>
    </row>
    <row r="7" spans="1:3" ht="12" customHeight="1" x14ac:dyDescent="0.3"/>
    <row r="14" spans="1:3" x14ac:dyDescent="0.3">
      <c r="C14" s="4"/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8B8E7-B279-4C5F-A025-03DFBA8C9FC4}">
  <sheetPr codeName="Sheet9"/>
  <dimension ref="A1:B9"/>
  <sheetViews>
    <sheetView tabSelected="1" workbookViewId="0">
      <selection activeCell="B2" sqref="B2"/>
    </sheetView>
  </sheetViews>
  <sheetFormatPr defaultRowHeight="16.5" x14ac:dyDescent="0.3"/>
  <cols>
    <col min="1" max="1" width="11" bestFit="1" customWidth="1"/>
  </cols>
  <sheetData>
    <row r="1" spans="1:2" x14ac:dyDescent="0.3">
      <c r="A1" t="s">
        <v>131</v>
      </c>
      <c r="B1" t="s">
        <v>132</v>
      </c>
    </row>
    <row r="2" spans="1:2" x14ac:dyDescent="0.3">
      <c r="A2" t="s">
        <v>133</v>
      </c>
      <c r="B2" s="3">
        <f>80/1440</f>
        <v>5.5555555555555552E-2</v>
      </c>
    </row>
    <row r="3" spans="1:2" x14ac:dyDescent="0.3">
      <c r="A3" t="s">
        <v>134</v>
      </c>
      <c r="B3" s="3">
        <f>40/1440</f>
        <v>2.7777777777777776E-2</v>
      </c>
    </row>
    <row r="4" spans="1:2" x14ac:dyDescent="0.3">
      <c r="A4" t="s">
        <v>130</v>
      </c>
      <c r="B4" s="3">
        <f>60/1440</f>
        <v>4.1666666666666664E-2</v>
      </c>
    </row>
    <row r="5" spans="1:2" x14ac:dyDescent="0.3">
      <c r="A5" t="s">
        <v>135</v>
      </c>
      <c r="B5" s="3">
        <f>60/1440</f>
        <v>4.1666666666666664E-2</v>
      </c>
    </row>
    <row r="6" spans="1:2" x14ac:dyDescent="0.3">
      <c r="A6" t="s">
        <v>136</v>
      </c>
      <c r="B6" s="3">
        <f>60/1440</f>
        <v>4.1666666666666664E-2</v>
      </c>
    </row>
    <row r="7" spans="1:2" x14ac:dyDescent="0.3">
      <c r="B7" s="3"/>
    </row>
    <row r="8" spans="1:2" x14ac:dyDescent="0.3">
      <c r="B8" s="3"/>
    </row>
    <row r="9" spans="1:2" x14ac:dyDescent="0.3">
      <c r="B9" s="3"/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메인</vt:lpstr>
      <vt:lpstr>동팀</vt:lpstr>
      <vt:lpstr>서팀</vt:lpstr>
      <vt:lpstr>종목</vt:lpstr>
      <vt:lpstr>스케줄</vt:lpstr>
      <vt:lpstr>경기현황</vt:lpstr>
      <vt:lpstr>차트</vt:lpstr>
      <vt:lpstr>데이터</vt:lpstr>
      <vt:lpstr>로그인여부</vt:lpstr>
      <vt:lpstr>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2021-02-15T02:19:11Z</dcterms:created>
  <dcterms:modified xsi:type="dcterms:W3CDTF">2021-02-16T12:27:42Z</dcterms:modified>
</cp:coreProperties>
</file>