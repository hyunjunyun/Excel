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경기_평가전_20210217\"/>
    </mc:Choice>
  </mc:AlternateContent>
  <xr:revisionPtr revIDLastSave="0" documentId="13_ncr:1_{6C7625A5-751C-436B-9D86-193B367FFF9E}" xr6:coauthVersionLast="46" xr6:coauthVersionMax="46" xr10:uidLastSave="{00000000-0000-0000-0000-000000000000}"/>
  <bookViews>
    <workbookView xWindow="31050" yWindow="1125" windowWidth="24075" windowHeight="13755" activeTab="1" xr2:uid="{FE4A6BDB-95F1-47E6-81FE-938941C2ABFE}"/>
  </bookViews>
  <sheets>
    <sheet name="Main" sheetId="1" r:id="rId1"/>
    <sheet name="동팀" sheetId="2" r:id="rId2"/>
    <sheet name="서팀" sheetId="3" r:id="rId3"/>
    <sheet name="종목" sheetId="4" r:id="rId4"/>
    <sheet name="스케줄" sheetId="5" r:id="rId5"/>
    <sheet name="데이터" sheetId="7" r:id="rId6"/>
    <sheet name="경기현황" sheetId="6" r:id="rId7"/>
  </sheets>
  <definedNames>
    <definedName name="column">종목!$K$1</definedName>
    <definedName name="등록수정">Main!$C$1</definedName>
    <definedName name="로그인여부">Main!$A$1</definedName>
    <definedName name="이름">Main!$B$1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7" l="1"/>
  <c r="C9" i="7"/>
  <c r="C8" i="7"/>
  <c r="C7" i="7"/>
  <c r="C6" i="7"/>
  <c r="C5" i="7"/>
  <c r="C4" i="7"/>
  <c r="C3" i="7"/>
  <c r="C2" i="7"/>
  <c r="H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930ED847-62C2-47B2-A674-F1B5B6E807B1}">
      <text/>
    </comment>
    <comment ref="E15" authorId="0" shapeId="0" xr:uid="{FBF83BBA-24F6-4A5C-AE3E-2EDA9128EE28}">
      <text/>
    </comment>
    <comment ref="E26" authorId="0" shapeId="0" xr:uid="{8C2A05B9-1791-4E30-8A11-9B341DFE4AB3}">
      <text/>
    </comment>
    <comment ref="E31" authorId="0" shapeId="0" xr:uid="{6808B59B-B27F-4CA7-BEF3-258FC8F3841D}">
      <text/>
    </comment>
    <comment ref="E32" authorId="0" shapeId="0" xr:uid="{31BEEA7C-6AB9-4CAC-B728-5C58997F5DFE}">
      <text/>
    </comment>
    <comment ref="E42" authorId="0" shapeId="0" xr:uid="{6C15A4A6-37F1-47EA-B9D6-9BD56E20B152}">
      <text/>
    </comment>
    <comment ref="E43" authorId="0" shapeId="0" xr:uid="{1323B124-A66B-4D9D-B5E7-43098DDB1199}">
      <text/>
    </comment>
    <comment ref="E48" authorId="0" shapeId="0" xr:uid="{8C2B0C59-8B59-4A28-AD51-2E06F0E17160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82C67A31-E7A5-4A00-9AB8-E08456AEA57D}">
      <text/>
    </comment>
    <comment ref="E8" authorId="0" shapeId="0" xr:uid="{60DF2E35-9D7B-411E-92D5-8836FC3A42FD}">
      <text/>
    </comment>
    <comment ref="E18" authorId="0" shapeId="0" xr:uid="{D7D4313C-A6D9-47B2-8195-CDCA2AFB1E2E}">
      <text/>
    </comment>
    <comment ref="E19" authorId="0" shapeId="0" xr:uid="{2DC90AF1-94AA-4AAA-A5AA-3B70AFD33F15}">
      <text/>
    </comment>
    <comment ref="E24" authorId="0" shapeId="0" xr:uid="{51874894-B291-45A5-8DB4-8242BA3B6F8A}">
      <text/>
    </comment>
    <comment ref="E28" authorId="0" shapeId="0" xr:uid="{47BCF299-61DB-4FD6-B5DC-4665DC98B81C}">
      <text/>
    </comment>
  </commentList>
</comments>
</file>

<file path=xl/sharedStrings.xml><?xml version="1.0" encoding="utf-8"?>
<sst xmlns="http://schemas.openxmlformats.org/spreadsheetml/2006/main" count="285" uniqueCount="152">
  <si>
    <t xml:space="preserve"> </t>
    <phoneticPr fontId="1" type="noConversion"/>
  </si>
  <si>
    <t>번호</t>
  </si>
  <si>
    <t>성명</t>
  </si>
  <si>
    <t>생년월일</t>
  </si>
  <si>
    <t>나이</t>
  </si>
  <si>
    <t>사진</t>
  </si>
  <si>
    <t>김영빈</t>
  </si>
  <si>
    <t>O</t>
  </si>
  <si>
    <t>김효성</t>
  </si>
  <si>
    <t>X</t>
  </si>
  <si>
    <t>노형민</t>
  </si>
  <si>
    <t>서승우</t>
  </si>
  <si>
    <t>오진수</t>
  </si>
  <si>
    <t>유법상</t>
  </si>
  <si>
    <t>윤예찬</t>
  </si>
  <si>
    <t>이규미</t>
  </si>
  <si>
    <t>이기연</t>
  </si>
  <si>
    <t>이태현</t>
  </si>
  <si>
    <t>이한솔</t>
  </si>
  <si>
    <t>전다훈</t>
  </si>
  <si>
    <t>차우성</t>
  </si>
  <si>
    <t>한성준</t>
  </si>
  <si>
    <t>김도현</t>
  </si>
  <si>
    <t>김민우</t>
  </si>
  <si>
    <t>김범식</t>
  </si>
  <si>
    <t>김성원</t>
  </si>
  <si>
    <t>김수민</t>
  </si>
  <si>
    <t>김재윤</t>
  </si>
  <si>
    <t>신현수</t>
  </si>
  <si>
    <t>원영철</t>
  </si>
  <si>
    <t>이정진</t>
  </si>
  <si>
    <t>이훈</t>
  </si>
  <si>
    <t>장주열</t>
  </si>
  <si>
    <t>하태광</t>
  </si>
  <si>
    <t>강민성</t>
  </si>
  <si>
    <t>강병호</t>
  </si>
  <si>
    <t>강승훈</t>
  </si>
  <si>
    <t>권용욱</t>
  </si>
  <si>
    <t>김민유</t>
  </si>
  <si>
    <t>김상현</t>
  </si>
  <si>
    <t>김진겸</t>
  </si>
  <si>
    <t>김혜린</t>
  </si>
  <si>
    <t>박준영</t>
  </si>
  <si>
    <t>윤성민</t>
  </si>
  <si>
    <t>윤제중</t>
  </si>
  <si>
    <t>윤제민</t>
  </si>
  <si>
    <t>윤민중</t>
  </si>
  <si>
    <t>김진중</t>
  </si>
  <si>
    <t>이훈용</t>
  </si>
  <si>
    <t>연습용</t>
  </si>
  <si>
    <t>김도연</t>
  </si>
  <si>
    <t>김홍경</t>
  </si>
  <si>
    <t>박상준</t>
  </si>
  <si>
    <t>박재우</t>
  </si>
  <si>
    <t>심규빈</t>
  </si>
  <si>
    <t>우세희</t>
  </si>
  <si>
    <t>원석호</t>
  </si>
  <si>
    <t>유재혁</t>
  </si>
  <si>
    <t>이건욱</t>
  </si>
  <si>
    <t>이광욱</t>
  </si>
  <si>
    <t>이상협</t>
  </si>
  <si>
    <t>이혜민</t>
  </si>
  <si>
    <t>정호성</t>
  </si>
  <si>
    <t xml:space="preserve">김별은 </t>
  </si>
  <si>
    <t xml:space="preserve">김은별 </t>
  </si>
  <si>
    <t>권현우</t>
  </si>
  <si>
    <t>김미르</t>
  </si>
  <si>
    <t>김민석</t>
  </si>
  <si>
    <t>김선겸</t>
  </si>
  <si>
    <t>박성훈</t>
  </si>
  <si>
    <t>박신형</t>
  </si>
  <si>
    <t>박형민</t>
  </si>
  <si>
    <t>박정민</t>
  </si>
  <si>
    <t>안도현</t>
  </si>
  <si>
    <t>이상훈</t>
  </si>
  <si>
    <t>이유라</t>
  </si>
  <si>
    <t>이정복</t>
  </si>
  <si>
    <t>임수홍</t>
  </si>
  <si>
    <t>장종현</t>
  </si>
  <si>
    <t>조재영</t>
  </si>
  <si>
    <t>진유민</t>
  </si>
  <si>
    <t>함현지</t>
  </si>
  <si>
    <t>허수한</t>
  </si>
  <si>
    <t>서인준</t>
  </si>
  <si>
    <t>권윤학</t>
  </si>
  <si>
    <t>김시몬</t>
  </si>
  <si>
    <t>김유진</t>
  </si>
  <si>
    <t>김조훈</t>
  </si>
  <si>
    <t>김진언</t>
  </si>
  <si>
    <t>석효빈</t>
  </si>
  <si>
    <t>양효빈</t>
  </si>
  <si>
    <t>유진성</t>
  </si>
  <si>
    <t>윤선영</t>
  </si>
  <si>
    <t>윤현석</t>
  </si>
  <si>
    <t>이건흠</t>
  </si>
  <si>
    <t>최혜성</t>
  </si>
  <si>
    <t>한상우</t>
  </si>
  <si>
    <t>정종민</t>
  </si>
  <si>
    <t>대표자</t>
    <phoneticPr fontId="1" type="noConversion"/>
  </si>
  <si>
    <t>김영빈</t>
    <phoneticPr fontId="1" type="noConversion"/>
  </si>
  <si>
    <t>김도연</t>
    <phoneticPr fontId="1" type="noConversion"/>
  </si>
  <si>
    <t>종목명</t>
  </si>
  <si>
    <t>소요시간(분)</t>
  </si>
  <si>
    <t>참가인원수</t>
  </si>
  <si>
    <t>승리포인트</t>
  </si>
  <si>
    <t>동팀 참가학생(번호)</t>
  </si>
  <si>
    <t>서팀 참가학생(번호)</t>
  </si>
  <si>
    <t>씨름</t>
  </si>
  <si>
    <t>23,24,27,29,30,32,34,36,41,42</t>
  </si>
  <si>
    <t>14,15,20,22,24,31,32,34,36,44</t>
  </si>
  <si>
    <t>농구</t>
  </si>
  <si>
    <t>14,17,19,20,22,27,29,30,31,41</t>
  </si>
  <si>
    <t>2,5,13,15,17,20,24,31,32,33</t>
  </si>
  <si>
    <t>2인3각</t>
  </si>
  <si>
    <t>6,7,13,14,18,20,22,24,25,27,28,31,33,34,41</t>
  </si>
  <si>
    <t>1,4,5,6,15,18,20,22,23,24,28,29,32,33,36</t>
  </si>
  <si>
    <t>축구</t>
  </si>
  <si>
    <t>전체</t>
  </si>
  <si>
    <t>점심</t>
  </si>
  <si>
    <t>기마전</t>
  </si>
  <si>
    <t>2,4,13,15,25,26,31,32,33,34</t>
  </si>
  <si>
    <t>2,4,5,24,25,31,32,33,39,40</t>
  </si>
  <si>
    <t>줄다기리</t>
  </si>
  <si>
    <t>피구</t>
  </si>
  <si>
    <t>9,10,12,14,16,19,21,27,30,33</t>
  </si>
  <si>
    <t>4,6,14,16,25,26,32,34,36,40</t>
  </si>
  <si>
    <t>이어달리기</t>
  </si>
  <si>
    <t>16,18,20,22,24,26,27,29,30,31</t>
  </si>
  <si>
    <t>9,11,22,24,26,32,34,35,38,40</t>
  </si>
  <si>
    <t>등록</t>
    <phoneticPr fontId="1" type="noConversion"/>
  </si>
  <si>
    <t>점수판</t>
    <phoneticPr fontId="1" type="noConversion"/>
  </si>
  <si>
    <t>동팀</t>
    <phoneticPr fontId="1" type="noConversion"/>
  </si>
  <si>
    <t>서팀</t>
    <phoneticPr fontId="1" type="noConversion"/>
  </si>
  <si>
    <t>종목</t>
    <phoneticPr fontId="1" type="noConversion"/>
  </si>
  <si>
    <t>시작시간</t>
    <phoneticPr fontId="1" type="noConversion"/>
  </si>
  <si>
    <t>소요시간</t>
    <phoneticPr fontId="1" type="noConversion"/>
  </si>
  <si>
    <t>개막</t>
    <phoneticPr fontId="1" type="noConversion"/>
  </si>
  <si>
    <t>12</t>
  </si>
  <si>
    <t>1998-11-12</t>
  </si>
  <si>
    <t>fgh</t>
  </si>
  <si>
    <t>1998-12-12</t>
  </si>
  <si>
    <t>jg</t>
  </si>
  <si>
    <t>1998-12-11</t>
  </si>
  <si>
    <t>윤현준</t>
  </si>
  <si>
    <t>2003-12-11</t>
  </si>
  <si>
    <t>성명</t>
    <phoneticPr fontId="1" type="noConversion"/>
  </si>
  <si>
    <t>X</t>
    <phoneticPr fontId="1" type="noConversion"/>
  </si>
  <si>
    <t>윤현현준</t>
  </si>
  <si>
    <t>??</t>
    <phoneticPr fontId="1" type="noConversion"/>
  </si>
  <si>
    <t>윤현현현준</t>
  </si>
  <si>
    <t>윤현현현현준</t>
  </si>
  <si>
    <t>윤현현현현현준현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</si>
</sst>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/>
      <right/>
      <top style="thin">
        <color theme="1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>
      <alignment vertical="center"/>
    </xf>
    <xf numFmtId="176" fontId="0" fillId="0" borderId="0" xfId="0" applyNumberFormat="1">
      <alignment vertical="center"/>
    </xf>
    <xf numFmtId="0" fontId="2" fillId="0" borderId="0" xfId="0" applyFont="1" applyProtection="1">
      <alignment vertical="center"/>
      <protection locked="0"/>
    </xf>
    <xf numFmtId="0" fontId="2" fillId="0" borderId="0" xfId="0" applyFont="1" applyProtection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14" fontId="0" fillId="0" borderId="0" xfId="0" applyNumberFormat="1" applyAlignment="1" applyProtection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</cellXfs>
  <cellStyles count="1">
    <cellStyle name="표준" xfId="0" builtinId="0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1"/>
          <c:order val="0"/>
          <c:tx>
            <c:v>시간</c:v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데이터!$F$2:$F$11</c:f>
              <c:strCache>
                <c:ptCount val="10"/>
                <c:pt idx="0">
                  <c:v>개막</c:v>
                </c:pt>
                <c:pt idx="1">
                  <c:v>씨름</c:v>
                </c:pt>
                <c:pt idx="2">
                  <c:v>농구</c:v>
                </c:pt>
                <c:pt idx="3">
                  <c:v>2인3각</c:v>
                </c:pt>
                <c:pt idx="4">
                  <c:v>축구</c:v>
                </c:pt>
                <c:pt idx="5">
                  <c:v>점심</c:v>
                </c:pt>
                <c:pt idx="6">
                  <c:v>기마전</c:v>
                </c:pt>
                <c:pt idx="7">
                  <c:v>줄다기리</c:v>
                </c:pt>
                <c:pt idx="8">
                  <c:v>피구</c:v>
                </c:pt>
                <c:pt idx="9">
                  <c:v>이어달리기</c:v>
                </c:pt>
              </c:strCache>
            </c:strRef>
          </c:cat>
          <c:val>
            <c:numRef>
              <c:f>데이터!$G$2:$G$11</c:f>
              <c:numCache>
                <c:formatCode>h:mm;@</c:formatCode>
                <c:ptCount val="10"/>
                <c:pt idx="0">
                  <c:v>0.375</c:v>
                </c:pt>
                <c:pt idx="1">
                  <c:v>0.39583333333333331</c:v>
                </c:pt>
                <c:pt idx="2">
                  <c:v>0.43055555555555558</c:v>
                </c:pt>
                <c:pt idx="3">
                  <c:v>0.45833333333333331</c:v>
                </c:pt>
                <c:pt idx="4">
                  <c:v>0.47916666666666669</c:v>
                </c:pt>
                <c:pt idx="5">
                  <c:v>0.5</c:v>
                </c:pt>
                <c:pt idx="6">
                  <c:v>0.55555555555555558</c:v>
                </c:pt>
                <c:pt idx="7">
                  <c:v>0.58333333333333337</c:v>
                </c:pt>
                <c:pt idx="8">
                  <c:v>0.61111111111111105</c:v>
                </c:pt>
                <c:pt idx="9">
                  <c:v>0.63888888888888895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55-4A39-94C0-8A2F24FD80F8}"/>
            </c:ext>
          </c:extLst>
        </c:ser>
        <c:ser>
          <c:idx val="0"/>
          <c:order val="1"/>
          <c:tx>
            <c:v>소요시간</c:v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데이터!$F$2:$F$11</c:f>
              <c:strCache>
                <c:ptCount val="10"/>
                <c:pt idx="0">
                  <c:v>개막</c:v>
                </c:pt>
                <c:pt idx="1">
                  <c:v>씨름</c:v>
                </c:pt>
                <c:pt idx="2">
                  <c:v>농구</c:v>
                </c:pt>
                <c:pt idx="3">
                  <c:v>2인3각</c:v>
                </c:pt>
                <c:pt idx="4">
                  <c:v>축구</c:v>
                </c:pt>
                <c:pt idx="5">
                  <c:v>점심</c:v>
                </c:pt>
                <c:pt idx="6">
                  <c:v>기마전</c:v>
                </c:pt>
                <c:pt idx="7">
                  <c:v>줄다기리</c:v>
                </c:pt>
                <c:pt idx="8">
                  <c:v>피구</c:v>
                </c:pt>
                <c:pt idx="9">
                  <c:v>이어달리기</c:v>
                </c:pt>
              </c:strCache>
            </c:strRef>
          </c:cat>
          <c:val>
            <c:numRef>
              <c:f>데이터!$H$2:$H$11</c:f>
              <c:numCache>
                <c:formatCode>h:mm;@</c:formatCode>
                <c:ptCount val="10"/>
                <c:pt idx="0">
                  <c:v>2.0833333333333332E-2</c:v>
                </c:pt>
                <c:pt idx="1">
                  <c:v>3.4722222222222224E-2</c:v>
                </c:pt>
                <c:pt idx="2">
                  <c:v>2.7777777777777776E-2</c:v>
                </c:pt>
                <c:pt idx="3">
                  <c:v>2.0833333333333332E-2</c:v>
                </c:pt>
                <c:pt idx="4">
                  <c:v>2.0833333333333332E-2</c:v>
                </c:pt>
                <c:pt idx="5">
                  <c:v>5.5555555555555552E-2</c:v>
                </c:pt>
                <c:pt idx="6">
                  <c:v>2.7777777777777776E-2</c:v>
                </c:pt>
                <c:pt idx="7">
                  <c:v>2.7777777777777776E-2</c:v>
                </c:pt>
                <c:pt idx="8">
                  <c:v>2.7777777777777776E-2</c:v>
                </c:pt>
                <c:pt idx="9">
                  <c:v>2.7777777777777776E-2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55-4A39-94C0-8A2F24FD80F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28745759"/>
        <c:axId val="97334511"/>
      </c:barChart>
      <c:catAx>
        <c:axId val="162874575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334511"/>
        <c:crosses val="autoZero"/>
        <c:auto val="1"/>
        <c:lblAlgn val="ctr"/>
        <c:lblOffset val="100"/>
        <c:noMultiLvlLbl val="0"/>
      </c:catAx>
      <c:valAx>
        <c:axId val="97334511"/>
        <c:scaling>
          <c:orientation val="minMax"/>
          <c:max val="0.72500000000000009"/>
          <c:min val="0.37500000000000006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8745759"/>
        <c:crosses val="autoZero"/>
        <c:crossBetween val="between"/>
        <c:majorUnit val="2.0870000000000003E-2"/>
        <c:minorUnit val="2.0870000000000003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jpeg"/><Relationship Id="rId3" Type="http://schemas.openxmlformats.org/officeDocument/2006/relationships/image" Target="../media/image10.jpeg"/><Relationship Id="rId7" Type="http://schemas.openxmlformats.org/officeDocument/2006/relationships/image" Target="../media/image14.jpeg"/><Relationship Id="rId2" Type="http://schemas.openxmlformats.org/officeDocument/2006/relationships/image" Target="../media/image9.jpeg"/><Relationship Id="rId1" Type="http://schemas.openxmlformats.org/officeDocument/2006/relationships/image" Target="../media/image8.emf"/><Relationship Id="rId6" Type="http://schemas.openxmlformats.org/officeDocument/2006/relationships/image" Target="../media/image13.jpeg"/><Relationship Id="rId5" Type="http://schemas.openxmlformats.org/officeDocument/2006/relationships/image" Target="../media/image12.jpeg"/><Relationship Id="rId4" Type="http://schemas.openxmlformats.org/officeDocument/2006/relationships/image" Target="../media/image11.jpe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eg"/><Relationship Id="rId7" Type="http://schemas.openxmlformats.org/officeDocument/2006/relationships/image" Target="../media/image22.jpeg"/><Relationship Id="rId2" Type="http://schemas.openxmlformats.org/officeDocument/2006/relationships/image" Target="../media/image17.jpeg"/><Relationship Id="rId1" Type="http://schemas.openxmlformats.org/officeDocument/2006/relationships/image" Target="../media/image16.emf"/><Relationship Id="rId6" Type="http://schemas.openxmlformats.org/officeDocument/2006/relationships/image" Target="../media/image21.jpeg"/><Relationship Id="rId5" Type="http://schemas.openxmlformats.org/officeDocument/2006/relationships/image" Target="../media/image20.jpeg"/><Relationship Id="rId4" Type="http://schemas.openxmlformats.org/officeDocument/2006/relationships/image" Target="../media/image19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1</xdr:row>
      <xdr:rowOff>38100</xdr:rowOff>
    </xdr:from>
    <xdr:to>
      <xdr:col>9</xdr:col>
      <xdr:colOff>276225</xdr:colOff>
      <xdr:row>5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81150" y="247650"/>
          <a:ext cx="4867275" cy="866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4400"/>
            <a:t>가을 운동회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</xdr:row>
          <xdr:rowOff>95250</xdr:rowOff>
        </xdr:from>
        <xdr:to>
          <xdr:col>11</xdr:col>
          <xdr:colOff>457200</xdr:colOff>
          <xdr:row>5</xdr:row>
          <xdr:rowOff>66675</xdr:rowOff>
        </xdr:to>
        <xdr:sp macro="" textlink="">
          <xdr:nvSpPr>
            <xdr:cNvPr id="1025" name="btn대회날짜변경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5</xdr:row>
          <xdr:rowOff>180975</xdr:rowOff>
        </xdr:from>
        <xdr:to>
          <xdr:col>11</xdr:col>
          <xdr:colOff>447675</xdr:colOff>
          <xdr:row>8</xdr:row>
          <xdr:rowOff>152400</xdr:rowOff>
        </xdr:to>
        <xdr:sp macro="" textlink="">
          <xdr:nvSpPr>
            <xdr:cNvPr id="1027" name="btn스케줄보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9</xdr:row>
          <xdr:rowOff>38100</xdr:rowOff>
        </xdr:from>
        <xdr:to>
          <xdr:col>11</xdr:col>
          <xdr:colOff>419100</xdr:colOff>
          <xdr:row>12</xdr:row>
          <xdr:rowOff>9525</xdr:rowOff>
        </xdr:to>
        <xdr:sp macro="" textlink="">
          <xdr:nvSpPr>
            <xdr:cNvPr id="1028" name="btn종목목록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12</xdr:row>
          <xdr:rowOff>123825</xdr:rowOff>
        </xdr:from>
        <xdr:to>
          <xdr:col>11</xdr:col>
          <xdr:colOff>419100</xdr:colOff>
          <xdr:row>15</xdr:row>
          <xdr:rowOff>95250</xdr:rowOff>
        </xdr:to>
        <xdr:sp macro="" textlink="">
          <xdr:nvSpPr>
            <xdr:cNvPr id="1029" name="btn선수등록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15</xdr:row>
          <xdr:rowOff>142875</xdr:rowOff>
        </xdr:from>
        <xdr:to>
          <xdr:col>11</xdr:col>
          <xdr:colOff>400050</xdr:colOff>
          <xdr:row>18</xdr:row>
          <xdr:rowOff>114300</xdr:rowOff>
        </xdr:to>
        <xdr:sp macro="" textlink="">
          <xdr:nvSpPr>
            <xdr:cNvPr id="1030" name="btn경기현황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18</xdr:row>
          <xdr:rowOff>200025</xdr:rowOff>
        </xdr:from>
        <xdr:to>
          <xdr:col>11</xdr:col>
          <xdr:colOff>381000</xdr:colOff>
          <xdr:row>21</xdr:row>
          <xdr:rowOff>171450</xdr:rowOff>
        </xdr:to>
        <xdr:sp macro="" textlink="">
          <xdr:nvSpPr>
            <xdr:cNvPr id="1031" name="btn종료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104775</xdr:rowOff>
        </xdr:from>
        <xdr:to>
          <xdr:col>3</xdr:col>
          <xdr:colOff>9525</xdr:colOff>
          <xdr:row>5</xdr:row>
          <xdr:rowOff>76200</xdr:rowOff>
        </xdr:to>
        <xdr:sp macro="" textlink="">
          <xdr:nvSpPr>
            <xdr:cNvPr id="1032" name="btn로그인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161925</xdr:colOff>
          <xdr:row>0</xdr:row>
          <xdr:rowOff>66675</xdr:rowOff>
        </xdr:from>
        <xdr:to>
          <xdr:col>10</xdr:col>
          <xdr:colOff>581025</xdr:colOff>
          <xdr:row>2</xdr:row>
          <xdr:rowOff>123825</xdr:rowOff>
        </xdr:to>
        <xdr:sp macro="" textlink="">
          <xdr:nvSpPr>
            <xdr:cNvPr id="2049" name="btn메인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0</xdr:row>
          <xdr:rowOff>104775</xdr:rowOff>
        </xdr:from>
        <xdr:to>
          <xdr:col>10</xdr:col>
          <xdr:colOff>504825</xdr:colOff>
          <xdr:row>2</xdr:row>
          <xdr:rowOff>161925</xdr:rowOff>
        </xdr:to>
        <xdr:sp macro="" textlink="">
          <xdr:nvSpPr>
            <xdr:cNvPr id="3073" name="btn메인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4</xdr:row>
          <xdr:rowOff>47625</xdr:rowOff>
        </xdr:from>
        <xdr:to>
          <xdr:col>9</xdr:col>
          <xdr:colOff>638175</xdr:colOff>
          <xdr:row>6</xdr:row>
          <xdr:rowOff>104775</xdr:rowOff>
        </xdr:to>
        <xdr:sp macro="" textlink="">
          <xdr:nvSpPr>
            <xdr:cNvPr id="4097" name="btn메인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</xdr:row>
          <xdr:rowOff>0</xdr:rowOff>
        </xdr:from>
        <xdr:to>
          <xdr:col>9</xdr:col>
          <xdr:colOff>628650</xdr:colOff>
          <xdr:row>3</xdr:row>
          <xdr:rowOff>57150</xdr:rowOff>
        </xdr:to>
        <xdr:sp macro="" textlink="">
          <xdr:nvSpPr>
            <xdr:cNvPr id="4098" name="btn스케줄등록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0</xdr:row>
          <xdr:rowOff>200025</xdr:rowOff>
        </xdr:from>
        <xdr:to>
          <xdr:col>14</xdr:col>
          <xdr:colOff>19050</xdr:colOff>
          <xdr:row>2</xdr:row>
          <xdr:rowOff>76200</xdr:rowOff>
        </xdr:to>
        <xdr:sp macro="" textlink="">
          <xdr:nvSpPr>
            <xdr:cNvPr id="5121" name="btn메인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171450</xdr:colOff>
      <xdr:row>9</xdr:row>
      <xdr:rowOff>9524</xdr:rowOff>
    </xdr:from>
    <xdr:to>
      <xdr:col>16</xdr:col>
      <xdr:colOff>685799</xdr:colOff>
      <xdr:row>32</xdr:row>
      <xdr:rowOff>190500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2.xml"/><Relationship Id="rId4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4.emf"/><Relationship Id="rId5" Type="http://schemas.openxmlformats.org/officeDocument/2006/relationships/control" Target="../activeX/activeX11.xml"/><Relationship Id="rId4" Type="http://schemas.openxmlformats.org/officeDocument/2006/relationships/image" Target="../media/image2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5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179D3-D447-47F6-AAB7-DB232C02150A}">
  <sheetPr codeName="Sheet1"/>
  <dimension ref="A1:J10"/>
  <sheetViews>
    <sheetView showGridLines="0" workbookViewId="0">
      <selection activeCell="B1" sqref="B1"/>
    </sheetView>
  </sheetViews>
  <sheetFormatPr defaultRowHeight="16.5" x14ac:dyDescent="0.3"/>
  <cols>
    <col min="1" max="16384" width="9" style="2"/>
  </cols>
  <sheetData>
    <row r="1" spans="1:10" x14ac:dyDescent="0.3">
      <c r="A1" s="13" t="b">
        <v>1</v>
      </c>
      <c r="B1" s="13" t="s">
        <v>6</v>
      </c>
      <c r="C1" s="14" t="s">
        <v>129</v>
      </c>
      <c r="D1" s="1"/>
    </row>
    <row r="2" spans="1:10" x14ac:dyDescent="0.3">
      <c r="C2" s="1"/>
    </row>
    <row r="3" spans="1:10" x14ac:dyDescent="0.3">
      <c r="C3" s="1"/>
    </row>
    <row r="4" spans="1:10" x14ac:dyDescent="0.3">
      <c r="C4" s="1"/>
    </row>
    <row r="6" spans="1:10" x14ac:dyDescent="0.3">
      <c r="C6" s="1"/>
    </row>
    <row r="10" spans="1:10" x14ac:dyDescent="0.3">
      <c r="J10" s="2" t="s">
        <v>0</v>
      </c>
    </row>
  </sheetData>
  <sheetProtection selectLockedCells="1"/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1025" r:id="rId4" name="btn대회날짜변경">
          <controlPr defaultSize="0" autoLine="0" r:id="rId5">
            <anchor moveWithCells="1">
              <from>
                <xdr:col>8</xdr:col>
                <xdr:colOff>514350</xdr:colOff>
                <xdr:row>2</xdr:row>
                <xdr:rowOff>95250</xdr:rowOff>
              </from>
              <to>
                <xdr:col>11</xdr:col>
                <xdr:colOff>457200</xdr:colOff>
                <xdr:row>5</xdr:row>
                <xdr:rowOff>66675</xdr:rowOff>
              </to>
            </anchor>
          </controlPr>
        </control>
      </mc:Choice>
      <mc:Fallback>
        <control shapeId="1025" r:id="rId4" name="btn대회날짜변경"/>
      </mc:Fallback>
    </mc:AlternateContent>
    <mc:AlternateContent xmlns:mc="http://schemas.openxmlformats.org/markup-compatibility/2006">
      <mc:Choice Requires="x14">
        <control shapeId="1027" r:id="rId6" name="btn스케줄보기">
          <controlPr defaultSize="0" autoLine="0" r:id="rId7">
            <anchor moveWithCells="1">
              <from>
                <xdr:col>8</xdr:col>
                <xdr:colOff>504825</xdr:colOff>
                <xdr:row>5</xdr:row>
                <xdr:rowOff>180975</xdr:rowOff>
              </from>
              <to>
                <xdr:col>11</xdr:col>
                <xdr:colOff>447675</xdr:colOff>
                <xdr:row>8</xdr:row>
                <xdr:rowOff>152400</xdr:rowOff>
              </to>
            </anchor>
          </controlPr>
        </control>
      </mc:Choice>
      <mc:Fallback>
        <control shapeId="1027" r:id="rId6" name="btn스케줄보기"/>
      </mc:Fallback>
    </mc:AlternateContent>
    <mc:AlternateContent xmlns:mc="http://schemas.openxmlformats.org/markup-compatibility/2006">
      <mc:Choice Requires="x14">
        <control shapeId="1028" r:id="rId8" name="btn종목목록">
          <controlPr defaultSize="0" autoLine="0" r:id="rId9">
            <anchor moveWithCells="1">
              <from>
                <xdr:col>8</xdr:col>
                <xdr:colOff>476250</xdr:colOff>
                <xdr:row>9</xdr:row>
                <xdr:rowOff>38100</xdr:rowOff>
              </from>
              <to>
                <xdr:col>11</xdr:col>
                <xdr:colOff>419100</xdr:colOff>
                <xdr:row>12</xdr:row>
                <xdr:rowOff>9525</xdr:rowOff>
              </to>
            </anchor>
          </controlPr>
        </control>
      </mc:Choice>
      <mc:Fallback>
        <control shapeId="1028" r:id="rId8" name="btn종목목록"/>
      </mc:Fallback>
    </mc:AlternateContent>
    <mc:AlternateContent xmlns:mc="http://schemas.openxmlformats.org/markup-compatibility/2006">
      <mc:Choice Requires="x14">
        <control shapeId="1029" r:id="rId10" name="btn선수등록">
          <controlPr defaultSize="0" autoLine="0" r:id="rId11">
            <anchor moveWithCells="1">
              <from>
                <xdr:col>8</xdr:col>
                <xdr:colOff>476250</xdr:colOff>
                <xdr:row>12</xdr:row>
                <xdr:rowOff>123825</xdr:rowOff>
              </from>
              <to>
                <xdr:col>11</xdr:col>
                <xdr:colOff>419100</xdr:colOff>
                <xdr:row>15</xdr:row>
                <xdr:rowOff>95250</xdr:rowOff>
              </to>
            </anchor>
          </controlPr>
        </control>
      </mc:Choice>
      <mc:Fallback>
        <control shapeId="1029" r:id="rId10" name="btn선수등록"/>
      </mc:Fallback>
    </mc:AlternateContent>
    <mc:AlternateContent xmlns:mc="http://schemas.openxmlformats.org/markup-compatibility/2006">
      <mc:Choice Requires="x14">
        <control shapeId="1030" r:id="rId12" name="btn경기현황">
          <controlPr defaultSize="0" autoLine="0" r:id="rId13">
            <anchor moveWithCells="1">
              <from>
                <xdr:col>8</xdr:col>
                <xdr:colOff>457200</xdr:colOff>
                <xdr:row>15</xdr:row>
                <xdr:rowOff>142875</xdr:rowOff>
              </from>
              <to>
                <xdr:col>11</xdr:col>
                <xdr:colOff>400050</xdr:colOff>
                <xdr:row>18</xdr:row>
                <xdr:rowOff>114300</xdr:rowOff>
              </to>
            </anchor>
          </controlPr>
        </control>
      </mc:Choice>
      <mc:Fallback>
        <control shapeId="1030" r:id="rId12" name="btn경기현황"/>
      </mc:Fallback>
    </mc:AlternateContent>
    <mc:AlternateContent xmlns:mc="http://schemas.openxmlformats.org/markup-compatibility/2006">
      <mc:Choice Requires="x14">
        <control shapeId="1031" r:id="rId14" name="btn종료">
          <controlPr defaultSize="0" autoLine="0" r:id="rId15">
            <anchor moveWithCells="1">
              <from>
                <xdr:col>8</xdr:col>
                <xdr:colOff>438150</xdr:colOff>
                <xdr:row>18</xdr:row>
                <xdr:rowOff>200025</xdr:rowOff>
              </from>
              <to>
                <xdr:col>11</xdr:col>
                <xdr:colOff>381000</xdr:colOff>
                <xdr:row>21</xdr:row>
                <xdr:rowOff>171450</xdr:rowOff>
              </to>
            </anchor>
          </controlPr>
        </control>
      </mc:Choice>
      <mc:Fallback>
        <control shapeId="1031" r:id="rId14" name="btn종료"/>
      </mc:Fallback>
    </mc:AlternateContent>
    <mc:AlternateContent xmlns:mc="http://schemas.openxmlformats.org/markup-compatibility/2006">
      <mc:Choice Requires="x14">
        <control shapeId="1032" r:id="rId16" name="btn로그인">
          <controlPr defaultSize="0" autoLine="0" r:id="rId17">
            <anchor moveWithCells="1">
              <from>
                <xdr:col>0</xdr:col>
                <xdr:colOff>66675</xdr:colOff>
                <xdr:row>2</xdr:row>
                <xdr:rowOff>104775</xdr:rowOff>
              </from>
              <to>
                <xdr:col>3</xdr:col>
                <xdr:colOff>9525</xdr:colOff>
                <xdr:row>5</xdr:row>
                <xdr:rowOff>76200</xdr:rowOff>
              </to>
            </anchor>
          </controlPr>
        </control>
      </mc:Choice>
      <mc:Fallback>
        <control shapeId="1032" r:id="rId16" name="btn로그인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DE1E-A3F9-440B-8B9C-39AD67013FBC}">
  <sheetPr codeName="Sheet2"/>
  <dimension ref="A1:H48"/>
  <sheetViews>
    <sheetView tabSelected="1" topLeftCell="A25" workbookViewId="0">
      <selection activeCell="Q29" sqref="Q29"/>
    </sheetView>
  </sheetViews>
  <sheetFormatPr defaultRowHeight="16.5" x14ac:dyDescent="0.3"/>
  <cols>
    <col min="1" max="1" width="9" style="15"/>
    <col min="2" max="2" width="17.25" style="15" bestFit="1" customWidth="1"/>
    <col min="3" max="3" width="11.125" style="17" bestFit="1" customWidth="1"/>
    <col min="4" max="5" width="9" style="15"/>
    <col min="6" max="16384" width="9" style="2"/>
  </cols>
  <sheetData>
    <row r="1" spans="1:8" x14ac:dyDescent="0.3">
      <c r="A1" s="15" t="s">
        <v>1</v>
      </c>
      <c r="B1" s="15" t="s">
        <v>145</v>
      </c>
      <c r="C1" s="17" t="s">
        <v>3</v>
      </c>
      <c r="D1" s="15" t="s">
        <v>4</v>
      </c>
      <c r="E1" s="15" t="s">
        <v>5</v>
      </c>
      <c r="H1" s="16" t="s">
        <v>98</v>
      </c>
    </row>
    <row r="2" spans="1:8" x14ac:dyDescent="0.3">
      <c r="A2" s="15">
        <v>1</v>
      </c>
      <c r="B2" s="15" t="s">
        <v>6</v>
      </c>
      <c r="C2" s="18">
        <v>36115</v>
      </c>
      <c r="D2" s="15">
        <v>21</v>
      </c>
      <c r="E2" s="15" t="s">
        <v>7</v>
      </c>
      <c r="H2" s="16" t="s">
        <v>99</v>
      </c>
    </row>
    <row r="3" spans="1:8" x14ac:dyDescent="0.3">
      <c r="A3" s="15">
        <v>2</v>
      </c>
      <c r="B3" s="15" t="s">
        <v>8</v>
      </c>
      <c r="C3" s="18">
        <v>36889</v>
      </c>
      <c r="D3" s="15">
        <v>19</v>
      </c>
      <c r="E3" s="15" t="s">
        <v>9</v>
      </c>
    </row>
    <row r="4" spans="1:8" x14ac:dyDescent="0.3">
      <c r="A4" s="15">
        <v>3</v>
      </c>
      <c r="B4" s="15" t="s">
        <v>10</v>
      </c>
      <c r="C4" s="18">
        <v>36340</v>
      </c>
      <c r="D4" s="15">
        <v>21</v>
      </c>
      <c r="E4" s="15" t="s">
        <v>9</v>
      </c>
    </row>
    <row r="5" spans="1:8" x14ac:dyDescent="0.3">
      <c r="A5" s="15">
        <v>4</v>
      </c>
      <c r="B5" s="15" t="s">
        <v>11</v>
      </c>
      <c r="C5" s="18">
        <v>36069</v>
      </c>
      <c r="D5" s="15">
        <v>21</v>
      </c>
      <c r="E5" s="15" t="s">
        <v>9</v>
      </c>
    </row>
    <row r="6" spans="1:8" x14ac:dyDescent="0.3">
      <c r="A6" s="15">
        <v>5</v>
      </c>
      <c r="B6" s="15" t="s">
        <v>12</v>
      </c>
      <c r="C6" s="18">
        <v>35877</v>
      </c>
      <c r="D6" s="15">
        <v>22</v>
      </c>
      <c r="E6" s="15" t="s">
        <v>9</v>
      </c>
    </row>
    <row r="7" spans="1:8" x14ac:dyDescent="0.3">
      <c r="A7" s="15">
        <v>6</v>
      </c>
      <c r="B7" s="15" t="s">
        <v>13</v>
      </c>
      <c r="C7" s="18">
        <v>36866</v>
      </c>
      <c r="D7" s="15">
        <v>19</v>
      </c>
      <c r="E7" s="15" t="s">
        <v>9</v>
      </c>
    </row>
    <row r="8" spans="1:8" x14ac:dyDescent="0.3">
      <c r="A8" s="15">
        <v>7</v>
      </c>
      <c r="B8" s="15" t="s">
        <v>14</v>
      </c>
      <c r="C8" s="18">
        <v>35964</v>
      </c>
      <c r="D8" s="15">
        <v>22</v>
      </c>
      <c r="E8" s="15" t="s">
        <v>9</v>
      </c>
    </row>
    <row r="9" spans="1:8" x14ac:dyDescent="0.3">
      <c r="A9" s="15">
        <v>8</v>
      </c>
      <c r="B9" s="15" t="s">
        <v>15</v>
      </c>
      <c r="C9" s="18">
        <v>36369</v>
      </c>
      <c r="D9" s="15">
        <v>20</v>
      </c>
      <c r="E9" s="15" t="s">
        <v>9</v>
      </c>
    </row>
    <row r="10" spans="1:8" x14ac:dyDescent="0.3">
      <c r="A10" s="15">
        <v>9</v>
      </c>
      <c r="B10" s="15" t="s">
        <v>16</v>
      </c>
      <c r="C10" s="18">
        <v>35880</v>
      </c>
      <c r="D10" s="15">
        <v>22</v>
      </c>
      <c r="E10" s="15" t="s">
        <v>9</v>
      </c>
    </row>
    <row r="11" spans="1:8" x14ac:dyDescent="0.3">
      <c r="A11" s="15">
        <v>10</v>
      </c>
      <c r="B11" s="15" t="s">
        <v>17</v>
      </c>
      <c r="C11" s="18">
        <v>36340</v>
      </c>
      <c r="D11" s="15">
        <v>21</v>
      </c>
      <c r="E11" s="15" t="s">
        <v>9</v>
      </c>
    </row>
    <row r="12" spans="1:8" x14ac:dyDescent="0.3">
      <c r="A12" s="15">
        <v>11</v>
      </c>
      <c r="B12" s="15" t="s">
        <v>18</v>
      </c>
      <c r="C12" s="18">
        <v>36151</v>
      </c>
      <c r="D12" s="15">
        <v>21</v>
      </c>
      <c r="E12" s="15" t="s">
        <v>9</v>
      </c>
    </row>
    <row r="13" spans="1:8" x14ac:dyDescent="0.3">
      <c r="A13" s="15">
        <v>12</v>
      </c>
      <c r="B13" s="15" t="s">
        <v>19</v>
      </c>
      <c r="C13" s="18">
        <v>36641</v>
      </c>
      <c r="D13" s="15">
        <v>20</v>
      </c>
      <c r="E13" s="15" t="s">
        <v>9</v>
      </c>
    </row>
    <row r="14" spans="1:8" x14ac:dyDescent="0.3">
      <c r="A14" s="15">
        <v>13</v>
      </c>
      <c r="B14" s="15" t="s">
        <v>20</v>
      </c>
      <c r="C14" s="18">
        <v>36132</v>
      </c>
      <c r="D14" s="15">
        <v>21</v>
      </c>
      <c r="E14" s="15" t="s">
        <v>9</v>
      </c>
    </row>
    <row r="15" spans="1:8" x14ac:dyDescent="0.3">
      <c r="A15" s="15">
        <v>14</v>
      </c>
      <c r="B15" s="15" t="s">
        <v>21</v>
      </c>
      <c r="C15" s="18">
        <v>36027</v>
      </c>
      <c r="D15" s="15">
        <v>21</v>
      </c>
      <c r="E15" s="15" t="s">
        <v>7</v>
      </c>
    </row>
    <row r="16" spans="1:8" x14ac:dyDescent="0.3">
      <c r="A16" s="15">
        <v>15</v>
      </c>
      <c r="B16" s="15" t="s">
        <v>22</v>
      </c>
      <c r="C16" s="18">
        <v>36658</v>
      </c>
      <c r="D16" s="15">
        <v>20</v>
      </c>
      <c r="E16" s="15" t="s">
        <v>9</v>
      </c>
    </row>
    <row r="17" spans="1:5" x14ac:dyDescent="0.3">
      <c r="A17" s="15">
        <v>16</v>
      </c>
      <c r="B17" s="15" t="s">
        <v>23</v>
      </c>
      <c r="C17" s="18">
        <v>36775</v>
      </c>
      <c r="D17" s="15">
        <v>19</v>
      </c>
      <c r="E17" s="15" t="s">
        <v>9</v>
      </c>
    </row>
    <row r="18" spans="1:5" x14ac:dyDescent="0.3">
      <c r="A18" s="15">
        <v>17</v>
      </c>
      <c r="B18" s="15" t="s">
        <v>24</v>
      </c>
      <c r="C18" s="18">
        <v>36290</v>
      </c>
      <c r="D18" s="15">
        <v>21</v>
      </c>
      <c r="E18" s="15" t="s">
        <v>9</v>
      </c>
    </row>
    <row r="19" spans="1:5" x14ac:dyDescent="0.3">
      <c r="A19" s="15">
        <v>18</v>
      </c>
      <c r="B19" s="15" t="s">
        <v>25</v>
      </c>
      <c r="C19" s="18">
        <v>36694</v>
      </c>
      <c r="D19" s="15">
        <v>20</v>
      </c>
      <c r="E19" s="15" t="s">
        <v>9</v>
      </c>
    </row>
    <row r="20" spans="1:5" x14ac:dyDescent="0.3">
      <c r="A20" s="15">
        <v>19</v>
      </c>
      <c r="B20" s="15" t="s">
        <v>26</v>
      </c>
      <c r="C20" s="18">
        <v>36423</v>
      </c>
      <c r="D20" s="15">
        <v>20</v>
      </c>
      <c r="E20" s="15" t="s">
        <v>9</v>
      </c>
    </row>
    <row r="21" spans="1:5" x14ac:dyDescent="0.3">
      <c r="A21" s="15">
        <v>20</v>
      </c>
      <c r="B21" s="15" t="s">
        <v>27</v>
      </c>
      <c r="C21" s="18">
        <v>36776</v>
      </c>
      <c r="D21" s="15">
        <v>19</v>
      </c>
      <c r="E21" s="15" t="s">
        <v>9</v>
      </c>
    </row>
    <row r="22" spans="1:5" x14ac:dyDescent="0.3">
      <c r="A22" s="15">
        <v>21</v>
      </c>
      <c r="B22" s="15" t="s">
        <v>28</v>
      </c>
      <c r="C22" s="18">
        <v>36134</v>
      </c>
      <c r="D22" s="15">
        <v>21</v>
      </c>
      <c r="E22" s="15" t="s">
        <v>9</v>
      </c>
    </row>
    <row r="23" spans="1:5" x14ac:dyDescent="0.3">
      <c r="A23" s="15">
        <v>22</v>
      </c>
      <c r="B23" s="15" t="s">
        <v>29</v>
      </c>
      <c r="C23" s="18">
        <v>35968</v>
      </c>
      <c r="D23" s="15">
        <v>22</v>
      </c>
      <c r="E23" s="15" t="s">
        <v>9</v>
      </c>
    </row>
    <row r="24" spans="1:5" x14ac:dyDescent="0.3">
      <c r="A24" s="15">
        <v>23</v>
      </c>
      <c r="B24" s="15" t="s">
        <v>30</v>
      </c>
      <c r="C24" s="18">
        <v>36281</v>
      </c>
      <c r="D24" s="15">
        <v>21</v>
      </c>
      <c r="E24" s="15" t="s">
        <v>9</v>
      </c>
    </row>
    <row r="25" spans="1:5" x14ac:dyDescent="0.3">
      <c r="A25" s="15">
        <v>24</v>
      </c>
      <c r="B25" s="15" t="s">
        <v>31</v>
      </c>
      <c r="C25" s="18">
        <v>36678</v>
      </c>
      <c r="D25" s="15">
        <v>20</v>
      </c>
      <c r="E25" s="15" t="s">
        <v>9</v>
      </c>
    </row>
    <row r="26" spans="1:5" x14ac:dyDescent="0.3">
      <c r="A26" s="15">
        <v>25</v>
      </c>
      <c r="B26" s="15" t="s">
        <v>32</v>
      </c>
      <c r="C26" s="18">
        <v>36248</v>
      </c>
      <c r="D26" s="15">
        <v>21</v>
      </c>
      <c r="E26" s="15" t="s">
        <v>7</v>
      </c>
    </row>
    <row r="27" spans="1:5" x14ac:dyDescent="0.3">
      <c r="A27" s="15">
        <v>26</v>
      </c>
      <c r="B27" s="15" t="s">
        <v>33</v>
      </c>
      <c r="C27" s="18">
        <v>36237</v>
      </c>
      <c r="D27" s="15">
        <v>21</v>
      </c>
      <c r="E27" s="15" t="s">
        <v>9</v>
      </c>
    </row>
    <row r="28" spans="1:5" x14ac:dyDescent="0.3">
      <c r="A28" s="15">
        <v>27</v>
      </c>
      <c r="B28" s="15" t="s">
        <v>34</v>
      </c>
      <c r="C28" s="18">
        <v>36431</v>
      </c>
      <c r="D28" s="15">
        <v>20</v>
      </c>
      <c r="E28" s="15" t="s">
        <v>9</v>
      </c>
    </row>
    <row r="29" spans="1:5" x14ac:dyDescent="0.3">
      <c r="A29" s="15">
        <v>28</v>
      </c>
      <c r="B29" s="15" t="s">
        <v>35</v>
      </c>
      <c r="C29" s="18">
        <v>36339</v>
      </c>
      <c r="D29" s="15">
        <v>21</v>
      </c>
      <c r="E29" s="15" t="s">
        <v>9</v>
      </c>
    </row>
    <row r="30" spans="1:5" x14ac:dyDescent="0.3">
      <c r="A30" s="15">
        <v>29</v>
      </c>
      <c r="B30" s="15" t="s">
        <v>36</v>
      </c>
      <c r="C30" s="18">
        <v>36626</v>
      </c>
      <c r="D30" s="15">
        <v>20</v>
      </c>
      <c r="E30" s="15" t="s">
        <v>9</v>
      </c>
    </row>
    <row r="31" spans="1:5" x14ac:dyDescent="0.3">
      <c r="A31" s="15">
        <v>30</v>
      </c>
      <c r="B31" s="15" t="s">
        <v>37</v>
      </c>
      <c r="C31" s="18">
        <v>35900</v>
      </c>
      <c r="D31" s="15">
        <v>22</v>
      </c>
      <c r="E31" s="15" t="s">
        <v>7</v>
      </c>
    </row>
    <row r="32" spans="1:5" x14ac:dyDescent="0.3">
      <c r="A32" s="15">
        <v>31</v>
      </c>
      <c r="B32" s="15" t="s">
        <v>38</v>
      </c>
      <c r="C32" s="18">
        <v>36476</v>
      </c>
      <c r="D32" s="15">
        <v>20</v>
      </c>
      <c r="E32" s="15" t="s">
        <v>7</v>
      </c>
    </row>
    <row r="33" spans="1:5" x14ac:dyDescent="0.3">
      <c r="A33" s="15">
        <v>32</v>
      </c>
      <c r="B33" s="15" t="s">
        <v>39</v>
      </c>
      <c r="C33" s="18">
        <v>35931</v>
      </c>
      <c r="D33" s="15">
        <v>22</v>
      </c>
      <c r="E33" s="15" t="s">
        <v>9</v>
      </c>
    </row>
    <row r="34" spans="1:5" x14ac:dyDescent="0.3">
      <c r="A34" s="15">
        <v>33</v>
      </c>
      <c r="B34" s="15" t="s">
        <v>40</v>
      </c>
      <c r="C34" s="18">
        <v>36602</v>
      </c>
      <c r="D34" s="15">
        <v>20</v>
      </c>
      <c r="E34" s="15" t="s">
        <v>9</v>
      </c>
    </row>
    <row r="35" spans="1:5" x14ac:dyDescent="0.3">
      <c r="A35" s="15">
        <v>34</v>
      </c>
      <c r="B35" s="15" t="s">
        <v>41</v>
      </c>
      <c r="C35" s="18">
        <v>36305</v>
      </c>
      <c r="D35" s="15">
        <v>21</v>
      </c>
      <c r="E35" s="15" t="s">
        <v>9</v>
      </c>
    </row>
    <row r="36" spans="1:5" x14ac:dyDescent="0.3">
      <c r="A36" s="15">
        <v>35</v>
      </c>
      <c r="B36" s="15" t="s">
        <v>42</v>
      </c>
      <c r="C36" s="18">
        <v>36742</v>
      </c>
      <c r="D36" s="15">
        <v>19</v>
      </c>
      <c r="E36" s="15" t="s">
        <v>9</v>
      </c>
    </row>
    <row r="37" spans="1:5" x14ac:dyDescent="0.3">
      <c r="A37" s="15">
        <v>36</v>
      </c>
      <c r="B37" s="15" t="s">
        <v>43</v>
      </c>
      <c r="C37" s="18">
        <v>36422</v>
      </c>
      <c r="D37" s="15">
        <v>20</v>
      </c>
      <c r="E37" s="15">
        <v>31</v>
      </c>
    </row>
    <row r="38" spans="1:5" x14ac:dyDescent="0.3">
      <c r="A38" s="15">
        <v>37</v>
      </c>
      <c r="B38" s="15" t="s">
        <v>44</v>
      </c>
      <c r="C38" s="18">
        <v>36182</v>
      </c>
      <c r="D38" s="15">
        <v>21</v>
      </c>
      <c r="E38" s="15" t="s">
        <v>9</v>
      </c>
    </row>
    <row r="39" spans="1:5" x14ac:dyDescent="0.3">
      <c r="A39" s="15">
        <v>38</v>
      </c>
      <c r="B39" s="15" t="s">
        <v>45</v>
      </c>
      <c r="C39" s="18">
        <v>36742</v>
      </c>
      <c r="D39" s="15">
        <v>19</v>
      </c>
      <c r="E39" s="15" t="s">
        <v>9</v>
      </c>
    </row>
    <row r="40" spans="1:5" x14ac:dyDescent="0.3">
      <c r="A40" s="15">
        <v>39</v>
      </c>
      <c r="B40" s="15" t="s">
        <v>46</v>
      </c>
      <c r="C40" s="18">
        <v>36476</v>
      </c>
      <c r="D40" s="15">
        <v>20</v>
      </c>
      <c r="E40" s="15" t="s">
        <v>9</v>
      </c>
    </row>
    <row r="41" spans="1:5" x14ac:dyDescent="0.3">
      <c r="A41" s="15">
        <v>40</v>
      </c>
      <c r="B41" s="15" t="s">
        <v>47</v>
      </c>
      <c r="C41" s="18">
        <v>36602</v>
      </c>
      <c r="D41" s="15">
        <v>20</v>
      </c>
      <c r="E41" s="15" t="s">
        <v>9</v>
      </c>
    </row>
    <row r="42" spans="1:5" x14ac:dyDescent="0.3">
      <c r="A42" s="15">
        <v>41</v>
      </c>
      <c r="B42" s="15" t="s">
        <v>48</v>
      </c>
      <c r="C42" s="18">
        <v>36161</v>
      </c>
      <c r="D42" s="15">
        <v>21</v>
      </c>
      <c r="E42" s="15" t="s">
        <v>7</v>
      </c>
    </row>
    <row r="43" spans="1:5" x14ac:dyDescent="0.3">
      <c r="A43" s="15">
        <v>42</v>
      </c>
      <c r="B43" s="15" t="s">
        <v>49</v>
      </c>
      <c r="C43" s="18">
        <v>36526</v>
      </c>
      <c r="D43" s="15">
        <v>20</v>
      </c>
      <c r="E43" s="15" t="s">
        <v>7</v>
      </c>
    </row>
    <row r="44" spans="1:5" x14ac:dyDescent="0.3">
      <c r="A44" s="15">
        <v>43</v>
      </c>
      <c r="B44" s="15" t="s">
        <v>143</v>
      </c>
      <c r="C44" s="17" t="s">
        <v>144</v>
      </c>
      <c r="D44" s="15">
        <v>18</v>
      </c>
      <c r="E44" s="15" t="s">
        <v>146</v>
      </c>
    </row>
    <row r="45" spans="1:5" x14ac:dyDescent="0.3">
      <c r="A45" s="15">
        <v>44</v>
      </c>
      <c r="B45" s="15" t="s">
        <v>147</v>
      </c>
      <c r="C45" s="17" t="s">
        <v>144</v>
      </c>
      <c r="D45" s="15" t="s">
        <v>148</v>
      </c>
      <c r="E45" s="15" t="s">
        <v>9</v>
      </c>
    </row>
    <row r="46" spans="1:5" x14ac:dyDescent="0.3">
      <c r="A46" s="15">
        <v>45</v>
      </c>
      <c r="B46" s="15" t="s">
        <v>149</v>
      </c>
      <c r="C46" s="17" t="s">
        <v>144</v>
      </c>
      <c r="D46" s="15">
        <v>6278</v>
      </c>
      <c r="E46" s="15" t="s">
        <v>9</v>
      </c>
    </row>
    <row r="47" spans="1:5" x14ac:dyDescent="0.3">
      <c r="A47" s="15">
        <v>46</v>
      </c>
      <c r="B47" s="15" t="s">
        <v>150</v>
      </c>
      <c r="C47" s="17" t="s">
        <v>144</v>
      </c>
      <c r="D47" s="15">
        <v>6278</v>
      </c>
      <c r="E47" s="15" t="s">
        <v>9</v>
      </c>
    </row>
    <row r="48" spans="1:5" x14ac:dyDescent="0.3">
      <c r="A48" s="15">
        <v>47</v>
      </c>
      <c r="B48" s="15" t="s">
        <v>151</v>
      </c>
      <c r="C48" s="17" t="s">
        <v>144</v>
      </c>
      <c r="D48" s="15">
        <v>-6278</v>
      </c>
      <c r="E48" s="15" t="s">
        <v>7</v>
      </c>
    </row>
  </sheetData>
  <sheetProtection selectLockedCells="1"/>
  <phoneticPr fontId="1" type="noConversion"/>
  <conditionalFormatting sqref="A1:E1048576">
    <cfRule type="expression" dxfId="4" priority="1">
      <formula>$A1&lt;&gt;""</formula>
    </cfRule>
  </conditionalFormatting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2049" r:id="rId4" name="btn메인">
          <controlPr defaultSize="0" autoLine="0" r:id="rId5">
            <anchor moveWithCells="1">
              <from>
                <xdr:col>8</xdr:col>
                <xdr:colOff>161925</xdr:colOff>
                <xdr:row>0</xdr:row>
                <xdr:rowOff>66675</xdr:rowOff>
              </from>
              <to>
                <xdr:col>10</xdr:col>
                <xdr:colOff>581025</xdr:colOff>
                <xdr:row>2</xdr:row>
                <xdr:rowOff>123825</xdr:rowOff>
              </to>
            </anchor>
          </controlPr>
        </control>
      </mc:Choice>
      <mc:Fallback>
        <control shapeId="2049" r:id="rId4" name="btn메인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1F6D2-106B-4C5A-BD91-78572A46F92C}">
  <sheetPr codeName="Sheet3"/>
  <dimension ref="A1:H53"/>
  <sheetViews>
    <sheetView workbookViewId="0">
      <selection activeCell="G13" sqref="G13"/>
    </sheetView>
  </sheetViews>
  <sheetFormatPr defaultRowHeight="16.5" x14ac:dyDescent="0.3"/>
  <cols>
    <col min="1" max="2" width="9" style="3"/>
    <col min="3" max="3" width="11.125" style="3" bestFit="1" customWidth="1"/>
    <col min="4" max="5" width="9" style="3"/>
  </cols>
  <sheetData>
    <row r="1" spans="1:8" x14ac:dyDescent="0.3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H1" s="5" t="s">
        <v>98</v>
      </c>
    </row>
    <row r="2" spans="1:8" x14ac:dyDescent="0.3">
      <c r="A2" s="3">
        <v>1</v>
      </c>
      <c r="B2" s="3" t="s">
        <v>50</v>
      </c>
      <c r="C2" s="4">
        <v>36837</v>
      </c>
      <c r="D2" s="3">
        <v>19</v>
      </c>
      <c r="E2" s="3" t="s">
        <v>7</v>
      </c>
      <c r="H2" s="5" t="s">
        <v>100</v>
      </c>
    </row>
    <row r="3" spans="1:8" x14ac:dyDescent="0.3">
      <c r="A3" s="3">
        <v>2</v>
      </c>
      <c r="B3" s="3" t="s">
        <v>51</v>
      </c>
      <c r="C3" s="4">
        <v>36741</v>
      </c>
      <c r="D3" s="3">
        <v>19</v>
      </c>
      <c r="E3" s="3" t="s">
        <v>9</v>
      </c>
    </row>
    <row r="4" spans="1:8" x14ac:dyDescent="0.3">
      <c r="A4" s="3">
        <v>3</v>
      </c>
      <c r="B4" s="3" t="s">
        <v>52</v>
      </c>
      <c r="C4" s="4">
        <v>35840</v>
      </c>
      <c r="D4" s="3">
        <v>22</v>
      </c>
      <c r="E4" s="3" t="s">
        <v>9</v>
      </c>
    </row>
    <row r="5" spans="1:8" x14ac:dyDescent="0.3">
      <c r="A5" s="3">
        <v>4</v>
      </c>
      <c r="B5" s="3" t="s">
        <v>53</v>
      </c>
      <c r="C5" s="4">
        <v>36615</v>
      </c>
      <c r="D5" s="3">
        <v>20</v>
      </c>
      <c r="E5" s="3" t="s">
        <v>9</v>
      </c>
    </row>
    <row r="6" spans="1:8" x14ac:dyDescent="0.3">
      <c r="A6" s="3">
        <v>5</v>
      </c>
      <c r="B6" s="3" t="s">
        <v>54</v>
      </c>
      <c r="C6" s="4">
        <v>36811</v>
      </c>
      <c r="D6" s="3">
        <v>19</v>
      </c>
      <c r="E6" s="3" t="s">
        <v>9</v>
      </c>
    </row>
    <row r="7" spans="1:8" x14ac:dyDescent="0.3">
      <c r="A7" s="3">
        <v>6</v>
      </c>
      <c r="B7" s="3" t="s">
        <v>55</v>
      </c>
      <c r="C7" s="4">
        <v>36122</v>
      </c>
      <c r="D7" s="3">
        <v>21</v>
      </c>
      <c r="E7" s="3" t="s">
        <v>9</v>
      </c>
    </row>
    <row r="8" spans="1:8" x14ac:dyDescent="0.3">
      <c r="A8" s="3">
        <v>7</v>
      </c>
      <c r="B8" s="3" t="s">
        <v>56</v>
      </c>
      <c r="C8" s="4">
        <v>35869</v>
      </c>
      <c r="D8" s="3">
        <v>22</v>
      </c>
      <c r="E8" s="3" t="s">
        <v>7</v>
      </c>
    </row>
    <row r="9" spans="1:8" x14ac:dyDescent="0.3">
      <c r="A9" s="3">
        <v>8</v>
      </c>
      <c r="B9" s="3" t="s">
        <v>57</v>
      </c>
      <c r="C9" s="4">
        <v>35893</v>
      </c>
      <c r="D9" s="3">
        <v>22</v>
      </c>
      <c r="E9" s="3" t="s">
        <v>9</v>
      </c>
    </row>
    <row r="10" spans="1:8" x14ac:dyDescent="0.3">
      <c r="A10" s="3">
        <v>9</v>
      </c>
      <c r="B10" s="3" t="s">
        <v>58</v>
      </c>
      <c r="C10" s="4">
        <v>36520</v>
      </c>
      <c r="D10" s="3">
        <v>20</v>
      </c>
      <c r="E10" s="3" t="s">
        <v>9</v>
      </c>
    </row>
    <row r="11" spans="1:8" x14ac:dyDescent="0.3">
      <c r="A11" s="3">
        <v>10</v>
      </c>
      <c r="B11" s="3" t="s">
        <v>59</v>
      </c>
      <c r="C11" s="4">
        <v>36075</v>
      </c>
      <c r="D11" s="3">
        <v>21</v>
      </c>
      <c r="E11" s="3" t="s">
        <v>9</v>
      </c>
    </row>
    <row r="12" spans="1:8" x14ac:dyDescent="0.3">
      <c r="A12" s="3">
        <v>11</v>
      </c>
      <c r="B12" s="3" t="s">
        <v>60</v>
      </c>
      <c r="C12" s="4">
        <v>36239</v>
      </c>
      <c r="D12" s="3">
        <v>21</v>
      </c>
      <c r="E12" s="3" t="s">
        <v>9</v>
      </c>
    </row>
    <row r="13" spans="1:8" x14ac:dyDescent="0.3">
      <c r="A13" s="3">
        <v>12</v>
      </c>
      <c r="B13" s="3" t="s">
        <v>61</v>
      </c>
      <c r="C13" s="4">
        <v>36651</v>
      </c>
      <c r="D13" s="3">
        <v>20</v>
      </c>
      <c r="E13" s="3" t="s">
        <v>9</v>
      </c>
    </row>
    <row r="14" spans="1:8" x14ac:dyDescent="0.3">
      <c r="A14" s="3">
        <v>13</v>
      </c>
      <c r="B14" s="3" t="s">
        <v>62</v>
      </c>
      <c r="C14" s="4">
        <v>36365</v>
      </c>
      <c r="D14" s="3">
        <v>20</v>
      </c>
      <c r="E14" s="3" t="s">
        <v>9</v>
      </c>
    </row>
    <row r="15" spans="1:8" x14ac:dyDescent="0.3">
      <c r="A15" s="3">
        <v>14</v>
      </c>
      <c r="B15" s="3" t="s">
        <v>63</v>
      </c>
      <c r="C15" s="4">
        <v>36766</v>
      </c>
      <c r="D15" s="3">
        <v>19</v>
      </c>
      <c r="E15" s="3" t="s">
        <v>9</v>
      </c>
    </row>
    <row r="16" spans="1:8" x14ac:dyDescent="0.3">
      <c r="A16" s="3">
        <v>15</v>
      </c>
      <c r="B16" s="3" t="s">
        <v>64</v>
      </c>
      <c r="C16" s="4">
        <v>36766</v>
      </c>
      <c r="D16" s="3">
        <v>19</v>
      </c>
      <c r="E16" s="3" t="s">
        <v>9</v>
      </c>
    </row>
    <row r="17" spans="1:5" x14ac:dyDescent="0.3">
      <c r="A17" s="3">
        <v>16</v>
      </c>
      <c r="B17" s="3" t="s">
        <v>65</v>
      </c>
      <c r="C17" s="4">
        <v>36520</v>
      </c>
      <c r="D17" s="3">
        <v>20</v>
      </c>
      <c r="E17" s="3" t="s">
        <v>9</v>
      </c>
    </row>
    <row r="18" spans="1:5" x14ac:dyDescent="0.3">
      <c r="A18" s="3">
        <v>17</v>
      </c>
      <c r="B18" s="3" t="s">
        <v>66</v>
      </c>
      <c r="C18" s="4">
        <v>35878</v>
      </c>
      <c r="D18" s="3">
        <v>22</v>
      </c>
      <c r="E18" s="3" t="s">
        <v>7</v>
      </c>
    </row>
    <row r="19" spans="1:5" x14ac:dyDescent="0.3">
      <c r="A19" s="3">
        <v>18</v>
      </c>
      <c r="B19" s="3" t="s">
        <v>67</v>
      </c>
      <c r="C19" s="4">
        <v>35807</v>
      </c>
      <c r="D19" s="3">
        <v>22</v>
      </c>
      <c r="E19" s="3" t="s">
        <v>7</v>
      </c>
    </row>
    <row r="20" spans="1:5" x14ac:dyDescent="0.3">
      <c r="A20" s="3">
        <v>19</v>
      </c>
      <c r="B20" s="3" t="s">
        <v>68</v>
      </c>
      <c r="C20" s="4">
        <v>36203</v>
      </c>
      <c r="D20" s="3">
        <v>21</v>
      </c>
      <c r="E20" s="3" t="s">
        <v>9</v>
      </c>
    </row>
    <row r="21" spans="1:5" x14ac:dyDescent="0.3">
      <c r="A21" s="3">
        <v>20</v>
      </c>
      <c r="B21" s="3" t="s">
        <v>69</v>
      </c>
      <c r="C21" s="4">
        <v>36521</v>
      </c>
      <c r="D21" s="3">
        <v>20</v>
      </c>
      <c r="E21" s="3" t="s">
        <v>9</v>
      </c>
    </row>
    <row r="22" spans="1:5" x14ac:dyDescent="0.3">
      <c r="A22" s="3">
        <v>21</v>
      </c>
      <c r="B22" s="3" t="s">
        <v>70</v>
      </c>
      <c r="C22" s="4">
        <v>36216</v>
      </c>
      <c r="D22" s="3">
        <v>21</v>
      </c>
      <c r="E22" s="3" t="s">
        <v>9</v>
      </c>
    </row>
    <row r="23" spans="1:5" x14ac:dyDescent="0.3">
      <c r="A23" s="3">
        <v>22</v>
      </c>
      <c r="B23" s="3" t="s">
        <v>71</v>
      </c>
      <c r="C23" s="4">
        <v>36104</v>
      </c>
      <c r="D23" s="3">
        <v>21</v>
      </c>
      <c r="E23" s="3" t="s">
        <v>9</v>
      </c>
    </row>
    <row r="24" spans="1:5" x14ac:dyDescent="0.3">
      <c r="A24" s="3">
        <v>23</v>
      </c>
      <c r="B24" s="3" t="s">
        <v>72</v>
      </c>
      <c r="C24" s="4">
        <v>36104</v>
      </c>
      <c r="D24" s="3">
        <v>21</v>
      </c>
      <c r="E24" s="3" t="s">
        <v>7</v>
      </c>
    </row>
    <row r="25" spans="1:5" x14ac:dyDescent="0.3">
      <c r="A25" s="3">
        <v>24</v>
      </c>
      <c r="B25" s="3" t="s">
        <v>73</v>
      </c>
      <c r="C25" s="4">
        <v>36681</v>
      </c>
      <c r="D25" s="3">
        <v>20</v>
      </c>
      <c r="E25" s="3" t="s">
        <v>9</v>
      </c>
    </row>
    <row r="26" spans="1:5" x14ac:dyDescent="0.3">
      <c r="A26" s="3">
        <v>25</v>
      </c>
      <c r="B26" s="3" t="s">
        <v>74</v>
      </c>
      <c r="C26" s="4">
        <v>36089</v>
      </c>
      <c r="D26" s="3">
        <v>21</v>
      </c>
      <c r="E26" s="3" t="s">
        <v>9</v>
      </c>
    </row>
    <row r="27" spans="1:5" x14ac:dyDescent="0.3">
      <c r="A27" s="3">
        <v>26</v>
      </c>
      <c r="B27" s="3" t="s">
        <v>75</v>
      </c>
      <c r="C27" s="4">
        <v>36286</v>
      </c>
      <c r="D27" s="3">
        <v>21</v>
      </c>
      <c r="E27" s="3" t="s">
        <v>9</v>
      </c>
    </row>
    <row r="28" spans="1:5" x14ac:dyDescent="0.3">
      <c r="A28" s="3">
        <v>27</v>
      </c>
      <c r="B28" s="3" t="s">
        <v>76</v>
      </c>
      <c r="C28" s="4">
        <v>36507</v>
      </c>
      <c r="D28" s="3">
        <v>20</v>
      </c>
      <c r="E28" s="3" t="s">
        <v>7</v>
      </c>
    </row>
    <row r="29" spans="1:5" x14ac:dyDescent="0.3">
      <c r="A29" s="3">
        <v>28</v>
      </c>
      <c r="B29" s="3" t="s">
        <v>77</v>
      </c>
      <c r="C29" s="4">
        <v>35804</v>
      </c>
      <c r="D29" s="3">
        <v>22</v>
      </c>
      <c r="E29" s="3" t="s">
        <v>9</v>
      </c>
    </row>
    <row r="30" spans="1:5" x14ac:dyDescent="0.3">
      <c r="A30" s="3">
        <v>29</v>
      </c>
      <c r="B30" s="3" t="s">
        <v>78</v>
      </c>
      <c r="C30" s="4">
        <v>36810</v>
      </c>
      <c r="D30" s="3">
        <v>19</v>
      </c>
      <c r="E30" s="3" t="s">
        <v>9</v>
      </c>
    </row>
    <row r="31" spans="1:5" x14ac:dyDescent="0.3">
      <c r="A31" s="3">
        <v>30</v>
      </c>
      <c r="B31" s="3" t="s">
        <v>79</v>
      </c>
      <c r="C31" s="4">
        <v>36709</v>
      </c>
      <c r="D31" s="3">
        <v>19</v>
      </c>
      <c r="E31" s="3" t="s">
        <v>9</v>
      </c>
    </row>
    <row r="32" spans="1:5" x14ac:dyDescent="0.3">
      <c r="A32" s="3">
        <v>31</v>
      </c>
      <c r="B32" s="3" t="s">
        <v>80</v>
      </c>
      <c r="C32" s="4">
        <v>36173</v>
      </c>
      <c r="D32" s="3">
        <v>21</v>
      </c>
      <c r="E32" s="3" t="s">
        <v>9</v>
      </c>
    </row>
    <row r="33" spans="1:5" x14ac:dyDescent="0.3">
      <c r="A33" s="3">
        <v>32</v>
      </c>
      <c r="B33" s="3" t="s">
        <v>81</v>
      </c>
      <c r="C33" s="4">
        <v>36714</v>
      </c>
      <c r="D33" s="3">
        <v>19</v>
      </c>
      <c r="E33" s="3" t="s">
        <v>9</v>
      </c>
    </row>
    <row r="34" spans="1:5" x14ac:dyDescent="0.3">
      <c r="A34" s="3">
        <v>33</v>
      </c>
      <c r="B34" s="3" t="s">
        <v>82</v>
      </c>
      <c r="C34" s="4">
        <v>36377</v>
      </c>
      <c r="D34" s="3">
        <v>20</v>
      </c>
      <c r="E34" s="3" t="s">
        <v>9</v>
      </c>
    </row>
    <row r="35" spans="1:5" x14ac:dyDescent="0.3">
      <c r="A35" s="3">
        <v>34</v>
      </c>
      <c r="B35" s="3" t="s">
        <v>83</v>
      </c>
      <c r="C35" s="4">
        <v>36708</v>
      </c>
      <c r="D35" s="3">
        <v>19</v>
      </c>
      <c r="E35" s="3" t="s">
        <v>9</v>
      </c>
    </row>
    <row r="36" spans="1:5" x14ac:dyDescent="0.3">
      <c r="A36" s="3">
        <v>35</v>
      </c>
      <c r="B36" s="3" t="s">
        <v>84</v>
      </c>
      <c r="C36" s="4">
        <v>36373</v>
      </c>
      <c r="D36" s="3">
        <v>20</v>
      </c>
      <c r="E36" s="3" t="s">
        <v>9</v>
      </c>
    </row>
    <row r="37" spans="1:5" x14ac:dyDescent="0.3">
      <c r="A37" s="3">
        <v>36</v>
      </c>
      <c r="B37" s="3" t="s">
        <v>85</v>
      </c>
      <c r="C37" s="4">
        <v>36260</v>
      </c>
      <c r="D37" s="3">
        <v>21</v>
      </c>
      <c r="E37" s="3" t="s">
        <v>9</v>
      </c>
    </row>
    <row r="38" spans="1:5" x14ac:dyDescent="0.3">
      <c r="A38" s="3">
        <v>37</v>
      </c>
      <c r="B38" s="3" t="s">
        <v>86</v>
      </c>
      <c r="C38" s="4">
        <v>36282</v>
      </c>
      <c r="D38" s="3">
        <v>21</v>
      </c>
      <c r="E38" s="3" t="s">
        <v>9</v>
      </c>
    </row>
    <row r="39" spans="1:5" x14ac:dyDescent="0.3">
      <c r="A39" s="3">
        <v>38</v>
      </c>
      <c r="B39" s="3" t="s">
        <v>87</v>
      </c>
      <c r="C39" s="4">
        <v>35904</v>
      </c>
      <c r="D39" s="3">
        <v>22</v>
      </c>
      <c r="E39" s="3" t="s">
        <v>9</v>
      </c>
    </row>
    <row r="40" spans="1:5" x14ac:dyDescent="0.3">
      <c r="A40" s="3">
        <v>39</v>
      </c>
      <c r="B40" s="3" t="s">
        <v>88</v>
      </c>
      <c r="C40" s="4">
        <v>36475</v>
      </c>
      <c r="D40" s="3">
        <v>20</v>
      </c>
      <c r="E40" s="3" t="s">
        <v>9</v>
      </c>
    </row>
    <row r="41" spans="1:5" x14ac:dyDescent="0.3">
      <c r="A41" s="3">
        <v>40</v>
      </c>
      <c r="B41" s="3" t="s">
        <v>69</v>
      </c>
      <c r="C41" s="4">
        <v>35991</v>
      </c>
      <c r="D41" s="3">
        <v>21</v>
      </c>
      <c r="E41" s="3" t="s">
        <v>9</v>
      </c>
    </row>
    <row r="42" spans="1:5" x14ac:dyDescent="0.3">
      <c r="A42" s="3">
        <v>41</v>
      </c>
      <c r="B42" s="3" t="s">
        <v>89</v>
      </c>
      <c r="C42" s="4">
        <v>36618</v>
      </c>
      <c r="D42" s="3">
        <v>20</v>
      </c>
      <c r="E42" s="3" t="s">
        <v>9</v>
      </c>
    </row>
    <row r="43" spans="1:5" x14ac:dyDescent="0.3">
      <c r="A43" s="3">
        <v>42</v>
      </c>
      <c r="B43" s="3" t="s">
        <v>90</v>
      </c>
      <c r="C43" s="4">
        <v>35909</v>
      </c>
      <c r="D43" s="3">
        <v>22</v>
      </c>
      <c r="E43" s="3" t="s">
        <v>9</v>
      </c>
    </row>
    <row r="44" spans="1:5" x14ac:dyDescent="0.3">
      <c r="A44" s="3">
        <v>43</v>
      </c>
      <c r="B44" s="3" t="s">
        <v>91</v>
      </c>
      <c r="C44" s="4">
        <v>35806</v>
      </c>
      <c r="D44" s="3">
        <v>22</v>
      </c>
      <c r="E44" s="3" t="s">
        <v>9</v>
      </c>
    </row>
    <row r="45" spans="1:5" x14ac:dyDescent="0.3">
      <c r="A45" s="3">
        <v>44</v>
      </c>
      <c r="B45" s="3" t="s">
        <v>92</v>
      </c>
      <c r="C45" s="4">
        <v>36206</v>
      </c>
      <c r="D45" s="3">
        <v>21</v>
      </c>
      <c r="E45" s="3" t="s">
        <v>9</v>
      </c>
    </row>
    <row r="46" spans="1:5" x14ac:dyDescent="0.3">
      <c r="A46" s="3">
        <v>45</v>
      </c>
      <c r="B46" s="3" t="s">
        <v>93</v>
      </c>
      <c r="C46" s="4">
        <v>36712</v>
      </c>
      <c r="D46" s="3">
        <v>19</v>
      </c>
      <c r="E46" s="3" t="s">
        <v>9</v>
      </c>
    </row>
    <row r="47" spans="1:5" x14ac:dyDescent="0.3">
      <c r="A47" s="3">
        <v>46</v>
      </c>
      <c r="B47" s="3" t="s">
        <v>94</v>
      </c>
      <c r="C47" s="4">
        <v>36115</v>
      </c>
      <c r="D47" s="3">
        <v>21</v>
      </c>
      <c r="E47" s="3" t="s">
        <v>9</v>
      </c>
    </row>
    <row r="48" spans="1:5" x14ac:dyDescent="0.3">
      <c r="A48" s="3">
        <v>47</v>
      </c>
      <c r="B48" s="3" t="s">
        <v>95</v>
      </c>
      <c r="C48" s="4">
        <v>36764</v>
      </c>
      <c r="D48" s="3">
        <v>19</v>
      </c>
      <c r="E48" s="3" t="s">
        <v>9</v>
      </c>
    </row>
    <row r="49" spans="1:5" x14ac:dyDescent="0.3">
      <c r="A49" s="3">
        <v>48</v>
      </c>
      <c r="B49" s="3" t="s">
        <v>96</v>
      </c>
      <c r="C49" s="4">
        <v>36678</v>
      </c>
      <c r="D49" s="3">
        <v>20</v>
      </c>
      <c r="E49" s="3" t="s">
        <v>9</v>
      </c>
    </row>
    <row r="50" spans="1:5" x14ac:dyDescent="0.3">
      <c r="A50" s="3">
        <v>49</v>
      </c>
      <c r="B50" s="3" t="s">
        <v>97</v>
      </c>
      <c r="C50" s="4">
        <v>36343</v>
      </c>
      <c r="D50" s="3">
        <v>20</v>
      </c>
      <c r="E50" s="3" t="s">
        <v>9</v>
      </c>
    </row>
    <row r="51" spans="1:5" x14ac:dyDescent="0.3">
      <c r="A51" s="3">
        <v>50</v>
      </c>
      <c r="B51" s="3" t="s">
        <v>137</v>
      </c>
      <c r="C51" s="3" t="s">
        <v>138</v>
      </c>
    </row>
    <row r="52" spans="1:5" x14ac:dyDescent="0.3">
      <c r="A52" s="3">
        <v>51</v>
      </c>
      <c r="B52" s="3" t="s">
        <v>139</v>
      </c>
      <c r="C52" s="3" t="s">
        <v>140</v>
      </c>
    </row>
    <row r="53" spans="1:5" x14ac:dyDescent="0.3">
      <c r="A53" s="3">
        <v>52</v>
      </c>
      <c r="B53" s="3" t="s">
        <v>141</v>
      </c>
      <c r="C53" s="3" t="s">
        <v>142</v>
      </c>
    </row>
  </sheetData>
  <phoneticPr fontId="1" type="noConversion"/>
  <conditionalFormatting sqref="A1:E1048576">
    <cfRule type="expression" dxfId="3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btn메인">
          <controlPr defaultSize="0" autoLine="0" r:id="rId4">
            <anchor moveWithCells="1">
              <from>
                <xdr:col>8</xdr:col>
                <xdr:colOff>85725</xdr:colOff>
                <xdr:row>0</xdr:row>
                <xdr:rowOff>104775</xdr:rowOff>
              </from>
              <to>
                <xdr:col>10</xdr:col>
                <xdr:colOff>504825</xdr:colOff>
                <xdr:row>2</xdr:row>
                <xdr:rowOff>161925</xdr:rowOff>
              </to>
            </anchor>
          </controlPr>
        </control>
      </mc:Choice>
      <mc:Fallback>
        <control shapeId="3073" r:id="rId3" name="btn메인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B4140-B78F-4656-AFF6-74C37A1659F0}">
  <sheetPr codeName="Sheet4"/>
  <dimension ref="A1:K10"/>
  <sheetViews>
    <sheetView workbookViewId="0">
      <selection activeCell="I23" sqref="I23"/>
    </sheetView>
  </sheetViews>
  <sheetFormatPr defaultRowHeight="16.5" x14ac:dyDescent="0.3"/>
  <cols>
    <col min="2" max="2" width="11" bestFit="1" customWidth="1"/>
    <col min="3" max="3" width="12.375" bestFit="1" customWidth="1"/>
    <col min="4" max="5" width="11" bestFit="1" customWidth="1"/>
    <col min="6" max="6" width="37.5" bestFit="1" customWidth="1"/>
    <col min="7" max="7" width="35.25" bestFit="1" customWidth="1"/>
  </cols>
  <sheetData>
    <row r="1" spans="1:11" x14ac:dyDescent="0.3">
      <c r="A1" s="3" t="s">
        <v>1</v>
      </c>
      <c r="B1" s="3" t="s">
        <v>101</v>
      </c>
      <c r="C1" s="3" t="s">
        <v>102</v>
      </c>
      <c r="D1" s="3" t="s">
        <v>103</v>
      </c>
      <c r="E1" s="3" t="s">
        <v>104</v>
      </c>
      <c r="F1" s="3" t="s">
        <v>105</v>
      </c>
      <c r="G1" s="3" t="s">
        <v>106</v>
      </c>
      <c r="K1">
        <v>11</v>
      </c>
    </row>
    <row r="2" spans="1:11" x14ac:dyDescent="0.3">
      <c r="A2" s="3">
        <v>1</v>
      </c>
      <c r="B2" s="3" t="s">
        <v>107</v>
      </c>
      <c r="C2" s="3">
        <v>50</v>
      </c>
      <c r="D2" s="3">
        <v>10</v>
      </c>
      <c r="E2" s="3">
        <v>50</v>
      </c>
      <c r="F2" s="3" t="s">
        <v>108</v>
      </c>
      <c r="G2" s="3" t="s">
        <v>109</v>
      </c>
    </row>
    <row r="3" spans="1:11" x14ac:dyDescent="0.3">
      <c r="A3" s="3">
        <v>2</v>
      </c>
      <c r="B3" s="3" t="s">
        <v>110</v>
      </c>
      <c r="C3" s="3">
        <v>40</v>
      </c>
      <c r="D3" s="3">
        <v>10</v>
      </c>
      <c r="E3" s="3">
        <v>50</v>
      </c>
      <c r="F3" s="3" t="s">
        <v>111</v>
      </c>
      <c r="G3" s="3" t="s">
        <v>112</v>
      </c>
    </row>
    <row r="4" spans="1:11" x14ac:dyDescent="0.3">
      <c r="A4" s="3">
        <v>3</v>
      </c>
      <c r="B4" s="3" t="s">
        <v>113</v>
      </c>
      <c r="C4" s="3">
        <v>30</v>
      </c>
      <c r="D4" s="3">
        <v>15</v>
      </c>
      <c r="E4" s="3">
        <v>100</v>
      </c>
      <c r="F4" s="3" t="s">
        <v>114</v>
      </c>
      <c r="G4" s="3" t="s">
        <v>115</v>
      </c>
    </row>
    <row r="5" spans="1:11" x14ac:dyDescent="0.3">
      <c r="A5" s="3">
        <v>4</v>
      </c>
      <c r="B5" s="3" t="s">
        <v>116</v>
      </c>
      <c r="C5" s="3">
        <v>30</v>
      </c>
      <c r="D5" s="3" t="s">
        <v>117</v>
      </c>
      <c r="E5" s="3">
        <v>200</v>
      </c>
      <c r="F5" s="3" t="s">
        <v>117</v>
      </c>
      <c r="G5" s="3" t="s">
        <v>117</v>
      </c>
    </row>
    <row r="6" spans="1:11" x14ac:dyDescent="0.3">
      <c r="A6" s="3">
        <v>5</v>
      </c>
      <c r="B6" s="3" t="s">
        <v>118</v>
      </c>
      <c r="C6" s="3">
        <v>80</v>
      </c>
      <c r="D6" s="3" t="s">
        <v>117</v>
      </c>
      <c r="E6" s="3">
        <v>0</v>
      </c>
      <c r="F6" s="3" t="s">
        <v>117</v>
      </c>
      <c r="G6" s="3" t="s">
        <v>117</v>
      </c>
    </row>
    <row r="7" spans="1:11" x14ac:dyDescent="0.3">
      <c r="A7" s="3">
        <v>6</v>
      </c>
      <c r="B7" s="3" t="s">
        <v>119</v>
      </c>
      <c r="C7" s="3">
        <v>40</v>
      </c>
      <c r="D7" s="3">
        <v>10</v>
      </c>
      <c r="E7" s="3">
        <v>50</v>
      </c>
      <c r="F7" s="3" t="s">
        <v>120</v>
      </c>
      <c r="G7" s="3" t="s">
        <v>121</v>
      </c>
    </row>
    <row r="8" spans="1:11" x14ac:dyDescent="0.3">
      <c r="A8" s="3">
        <v>7</v>
      </c>
      <c r="B8" s="3" t="s">
        <v>122</v>
      </c>
      <c r="C8" s="3">
        <v>40</v>
      </c>
      <c r="D8" s="3" t="s">
        <v>117</v>
      </c>
      <c r="E8" s="3">
        <v>200</v>
      </c>
      <c r="F8" s="3" t="s">
        <v>117</v>
      </c>
      <c r="G8" s="3" t="s">
        <v>117</v>
      </c>
    </row>
    <row r="9" spans="1:11" x14ac:dyDescent="0.3">
      <c r="A9" s="3">
        <v>8</v>
      </c>
      <c r="B9" s="3" t="s">
        <v>123</v>
      </c>
      <c r="C9" s="3">
        <v>40</v>
      </c>
      <c r="D9" s="3">
        <v>10</v>
      </c>
      <c r="E9" s="3">
        <v>150</v>
      </c>
      <c r="F9" s="3" t="s">
        <v>124</v>
      </c>
      <c r="G9" s="3" t="s">
        <v>125</v>
      </c>
    </row>
    <row r="10" spans="1:11" x14ac:dyDescent="0.3">
      <c r="A10" s="3">
        <v>9</v>
      </c>
      <c r="B10" s="3" t="s">
        <v>126</v>
      </c>
      <c r="C10" s="3">
        <v>40</v>
      </c>
      <c r="D10" s="3">
        <v>10</v>
      </c>
      <c r="E10" s="3">
        <v>50</v>
      </c>
      <c r="F10" s="3" t="s">
        <v>127</v>
      </c>
      <c r="G10" s="3" t="s">
        <v>128</v>
      </c>
    </row>
  </sheetData>
  <phoneticPr fontId="1" type="noConversion"/>
  <conditionalFormatting sqref="A1:G1048576">
    <cfRule type="expression" dxfId="2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btn스케줄등록">
          <controlPr defaultSize="0" disabled="1" autoLine="0" r:id="rId4">
            <anchor moveWithCells="1">
              <from>
                <xdr:col>7</xdr:col>
                <xdr:colOff>209550</xdr:colOff>
                <xdr:row>1</xdr:row>
                <xdr:rowOff>0</xdr:rowOff>
              </from>
              <to>
                <xdr:col>9</xdr:col>
                <xdr:colOff>628650</xdr:colOff>
                <xdr:row>3</xdr:row>
                <xdr:rowOff>57150</xdr:rowOff>
              </to>
            </anchor>
          </controlPr>
        </control>
      </mc:Choice>
      <mc:Fallback>
        <control shapeId="4098" r:id="rId3" name="btn스케줄등록"/>
      </mc:Fallback>
    </mc:AlternateContent>
    <mc:AlternateContent xmlns:mc="http://schemas.openxmlformats.org/markup-compatibility/2006">
      <mc:Choice Requires="x14">
        <control shapeId="4097" r:id="rId5" name="btn메인">
          <controlPr defaultSize="0" autoLine="0" r:id="rId6">
            <anchor moveWithCells="1">
              <from>
                <xdr:col>7</xdr:col>
                <xdr:colOff>219075</xdr:colOff>
                <xdr:row>4</xdr:row>
                <xdr:rowOff>47625</xdr:rowOff>
              </from>
              <to>
                <xdr:col>9</xdr:col>
                <xdr:colOff>638175</xdr:colOff>
                <xdr:row>6</xdr:row>
                <xdr:rowOff>104775</xdr:rowOff>
              </to>
            </anchor>
          </controlPr>
        </control>
      </mc:Choice>
      <mc:Fallback>
        <control shapeId="4097" r:id="rId5" name="btn메인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3EA42-6550-485F-99CB-C55C72E2B463}">
  <sheetPr codeName="Sheet5"/>
  <dimension ref="C1:I8"/>
  <sheetViews>
    <sheetView showGridLines="0" workbookViewId="0">
      <selection activeCell="B6" sqref="B6"/>
    </sheetView>
  </sheetViews>
  <sheetFormatPr defaultRowHeight="16.5" x14ac:dyDescent="0.3"/>
  <cols>
    <col min="2" max="2" width="16.5" customWidth="1"/>
    <col min="3" max="3" width="1.5" customWidth="1"/>
    <col min="6" max="6" width="5.375" customWidth="1"/>
    <col min="8" max="8" width="8.25" customWidth="1"/>
    <col min="9" max="9" width="1.375" customWidth="1"/>
  </cols>
  <sheetData>
    <row r="1" spans="3:9" ht="21.75" customHeight="1" x14ac:dyDescent="0.3"/>
    <row r="2" spans="3:9" x14ac:dyDescent="0.3">
      <c r="C2" s="28" t="s">
        <v>130</v>
      </c>
      <c r="D2" s="29"/>
      <c r="E2" s="29"/>
      <c r="F2" s="29"/>
      <c r="G2" s="29"/>
      <c r="H2" s="29"/>
      <c r="I2" s="30"/>
    </row>
    <row r="3" spans="3:9" ht="12.75" customHeight="1" x14ac:dyDescent="0.3">
      <c r="C3" s="31"/>
      <c r="D3" s="32"/>
      <c r="E3" s="32"/>
      <c r="F3" s="32"/>
      <c r="G3" s="32"/>
      <c r="H3" s="32"/>
      <c r="I3" s="33"/>
    </row>
    <row r="4" spans="3:9" ht="24" customHeight="1" x14ac:dyDescent="0.3">
      <c r="C4" s="7"/>
      <c r="D4" s="34" t="s">
        <v>131</v>
      </c>
      <c r="E4" s="34"/>
      <c r="F4" s="6"/>
      <c r="G4" s="34" t="s">
        <v>132</v>
      </c>
      <c r="H4" s="34"/>
      <c r="I4" s="8"/>
    </row>
    <row r="5" spans="3:9" x14ac:dyDescent="0.3">
      <c r="C5" s="7"/>
      <c r="D5" s="22"/>
      <c r="E5" s="23"/>
      <c r="F5" s="6"/>
      <c r="G5" s="22"/>
      <c r="H5" s="23"/>
      <c r="I5" s="8"/>
    </row>
    <row r="6" spans="3:9" x14ac:dyDescent="0.3">
      <c r="C6" s="7"/>
      <c r="D6" s="24"/>
      <c r="E6" s="25"/>
      <c r="F6" s="6"/>
      <c r="G6" s="24"/>
      <c r="H6" s="25"/>
      <c r="I6" s="8"/>
    </row>
    <row r="7" spans="3:9" x14ac:dyDescent="0.3">
      <c r="C7" s="7"/>
      <c r="D7" s="26"/>
      <c r="E7" s="27"/>
      <c r="F7" s="6"/>
      <c r="G7" s="26"/>
      <c r="H7" s="27"/>
      <c r="I7" s="8"/>
    </row>
    <row r="8" spans="3:9" ht="6.75" customHeight="1" x14ac:dyDescent="0.3">
      <c r="C8" s="9"/>
      <c r="D8" s="10"/>
      <c r="E8" s="10"/>
      <c r="F8" s="10"/>
      <c r="G8" s="10"/>
      <c r="H8" s="10"/>
      <c r="I8" s="11"/>
    </row>
  </sheetData>
  <mergeCells count="5">
    <mergeCell ref="D5:E7"/>
    <mergeCell ref="C2:I3"/>
    <mergeCell ref="G5:H7"/>
    <mergeCell ref="D4:E4"/>
    <mergeCell ref="G4:H4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121" r:id="rId4" name="btn메인">
          <controlPr defaultSize="0" autoLine="0" r:id="rId5">
            <anchor moveWithCells="1">
              <from>
                <xdr:col>12</xdr:col>
                <xdr:colOff>142875</xdr:colOff>
                <xdr:row>0</xdr:row>
                <xdr:rowOff>200025</xdr:rowOff>
              </from>
              <to>
                <xdr:col>14</xdr:col>
                <xdr:colOff>19050</xdr:colOff>
                <xdr:row>2</xdr:row>
                <xdr:rowOff>76200</xdr:rowOff>
              </to>
            </anchor>
          </controlPr>
        </control>
      </mc:Choice>
      <mc:Fallback>
        <control shapeId="5121" r:id="rId4" name="btn메인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478E-B799-4D02-AF85-1ECBDE520621}">
  <sheetPr codeName="Sheet7"/>
  <dimension ref="A1:H11"/>
  <sheetViews>
    <sheetView workbookViewId="0">
      <selection activeCell="I13" sqref="I13"/>
    </sheetView>
  </sheetViews>
  <sheetFormatPr defaultRowHeight="16.5" x14ac:dyDescent="0.3"/>
  <cols>
    <col min="2" max="2" width="11" bestFit="1" customWidth="1"/>
    <col min="3" max="3" width="12.375" style="12" bestFit="1" customWidth="1"/>
    <col min="4" max="4" width="9" style="20"/>
    <col min="7" max="7" width="11.75" style="12" bestFit="1" customWidth="1"/>
    <col min="8" max="8" width="12.875" style="12" bestFit="1" customWidth="1"/>
  </cols>
  <sheetData>
    <row r="1" spans="1:8" x14ac:dyDescent="0.3">
      <c r="A1" s="3" t="s">
        <v>1</v>
      </c>
      <c r="B1" s="3" t="s">
        <v>101</v>
      </c>
      <c r="C1" s="3" t="s">
        <v>102</v>
      </c>
      <c r="F1" s="3" t="s">
        <v>133</v>
      </c>
      <c r="G1" s="3" t="s">
        <v>134</v>
      </c>
      <c r="H1" s="3" t="s">
        <v>135</v>
      </c>
    </row>
    <row r="2" spans="1:8" x14ac:dyDescent="0.3">
      <c r="A2" s="3">
        <v>1</v>
      </c>
      <c r="B2" s="3" t="s">
        <v>107</v>
      </c>
      <c r="C2" s="19">
        <f>50/1440</f>
        <v>3.4722222222222224E-2</v>
      </c>
      <c r="F2" t="s">
        <v>136</v>
      </c>
      <c r="G2" s="12">
        <f>TIME(9,0,0)</f>
        <v>0.375</v>
      </c>
      <c r="H2" s="12">
        <f>30/1440</f>
        <v>2.0833333333333332E-2</v>
      </c>
    </row>
    <row r="3" spans="1:8" x14ac:dyDescent="0.3">
      <c r="A3" s="3">
        <v>2</v>
      </c>
      <c r="B3" s="3" t="s">
        <v>110</v>
      </c>
      <c r="C3" s="19">
        <f>40/1440</f>
        <v>2.7777777777777776E-2</v>
      </c>
      <c r="D3" s="21"/>
      <c r="F3" t="s">
        <v>107</v>
      </c>
      <c r="G3" s="12">
        <v>0.39583333333333331</v>
      </c>
      <c r="H3" s="12">
        <v>3.4722222222222224E-2</v>
      </c>
    </row>
    <row r="4" spans="1:8" x14ac:dyDescent="0.3">
      <c r="A4" s="3">
        <v>3</v>
      </c>
      <c r="B4" s="3" t="s">
        <v>113</v>
      </c>
      <c r="C4" s="19">
        <f>30/1440</f>
        <v>2.0833333333333332E-2</v>
      </c>
      <c r="D4" s="21"/>
      <c r="F4" t="s">
        <v>110</v>
      </c>
      <c r="G4" s="12">
        <v>0.43055555555555558</v>
      </c>
      <c r="H4" s="12">
        <v>2.7777777777777776E-2</v>
      </c>
    </row>
    <row r="5" spans="1:8" x14ac:dyDescent="0.3">
      <c r="A5" s="3">
        <v>4</v>
      </c>
      <c r="B5" s="3" t="s">
        <v>116</v>
      </c>
      <c r="C5" s="19">
        <f>30/1440</f>
        <v>2.0833333333333332E-2</v>
      </c>
      <c r="D5" s="21"/>
      <c r="F5" t="s">
        <v>113</v>
      </c>
      <c r="G5" s="12">
        <v>0.45833333333333331</v>
      </c>
      <c r="H5" s="12">
        <v>2.0833333333333332E-2</v>
      </c>
    </row>
    <row r="6" spans="1:8" x14ac:dyDescent="0.3">
      <c r="A6" s="3">
        <v>5</v>
      </c>
      <c r="B6" s="3" t="s">
        <v>118</v>
      </c>
      <c r="C6" s="19">
        <f>80/1440</f>
        <v>5.5555555555555552E-2</v>
      </c>
      <c r="D6" s="21"/>
      <c r="F6" t="s">
        <v>116</v>
      </c>
      <c r="G6" s="12">
        <v>0.47916666666666669</v>
      </c>
      <c r="H6" s="12">
        <v>2.0833333333333332E-2</v>
      </c>
    </row>
    <row r="7" spans="1:8" x14ac:dyDescent="0.3">
      <c r="A7" s="3">
        <v>6</v>
      </c>
      <c r="B7" s="3" t="s">
        <v>119</v>
      </c>
      <c r="C7" s="19">
        <f>40/1440</f>
        <v>2.7777777777777776E-2</v>
      </c>
      <c r="D7" s="21"/>
      <c r="F7" t="s">
        <v>118</v>
      </c>
      <c r="G7" s="12">
        <v>0.5</v>
      </c>
      <c r="H7" s="12">
        <v>5.5555555555555552E-2</v>
      </c>
    </row>
    <row r="8" spans="1:8" x14ac:dyDescent="0.3">
      <c r="A8" s="3">
        <v>7</v>
      </c>
      <c r="B8" s="3" t="s">
        <v>122</v>
      </c>
      <c r="C8" s="19">
        <f>40/1440</f>
        <v>2.7777777777777776E-2</v>
      </c>
      <c r="D8" s="21"/>
      <c r="F8" t="s">
        <v>119</v>
      </c>
      <c r="G8" s="12">
        <v>0.55555555555555558</v>
      </c>
      <c r="H8" s="12">
        <v>2.7777777777777776E-2</v>
      </c>
    </row>
    <row r="9" spans="1:8" x14ac:dyDescent="0.3">
      <c r="A9" s="3">
        <v>8</v>
      </c>
      <c r="B9" s="3" t="s">
        <v>123</v>
      </c>
      <c r="C9" s="19">
        <f>40/1440</f>
        <v>2.7777777777777776E-2</v>
      </c>
      <c r="D9" s="21"/>
      <c r="F9" t="s">
        <v>122</v>
      </c>
      <c r="G9" s="12">
        <v>0.58333333333333337</v>
      </c>
      <c r="H9" s="12">
        <v>2.7777777777777776E-2</v>
      </c>
    </row>
    <row r="10" spans="1:8" x14ac:dyDescent="0.3">
      <c r="A10" s="3">
        <v>9</v>
      </c>
      <c r="B10" s="3" t="s">
        <v>126</v>
      </c>
      <c r="C10" s="19">
        <f>40/1440</f>
        <v>2.7777777777777776E-2</v>
      </c>
      <c r="D10" s="21"/>
      <c r="F10" t="s">
        <v>123</v>
      </c>
      <c r="G10" s="12">
        <v>0.61111111111111105</v>
      </c>
      <c r="H10" s="12">
        <v>2.7777777777777776E-2</v>
      </c>
    </row>
    <row r="11" spans="1:8" x14ac:dyDescent="0.3">
      <c r="F11" t="s">
        <v>126</v>
      </c>
      <c r="G11" s="12">
        <v>0.63888888888888895</v>
      </c>
      <c r="H11" s="12">
        <v>2.7777777777777776E-2</v>
      </c>
    </row>
  </sheetData>
  <phoneticPr fontId="1" type="noConversion"/>
  <conditionalFormatting sqref="A1:C10 F1:H1">
    <cfRule type="expression" dxfId="1" priority="2">
      <formula>$A1&lt;&gt;""</formula>
    </cfRule>
  </conditionalFormatting>
  <conditionalFormatting sqref="D3:D10">
    <cfRule type="expression" dxfId="0" priority="1">
      <formula>$A3&lt;&gt;""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8F66A-E092-4807-BE6A-2CDD4CCCA246}">
  <sheetPr codeName="Sheet6"/>
  <dimension ref="A1"/>
  <sheetViews>
    <sheetView workbookViewId="0">
      <selection activeCell="E35" sqref="E35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</vt:i4>
      </vt:variant>
    </vt:vector>
  </HeadingPairs>
  <TitlesOfParts>
    <vt:vector size="11" baseType="lpstr">
      <vt:lpstr>Main</vt:lpstr>
      <vt:lpstr>동팀</vt:lpstr>
      <vt:lpstr>서팀</vt:lpstr>
      <vt:lpstr>종목</vt:lpstr>
      <vt:lpstr>스케줄</vt:lpstr>
      <vt:lpstr>데이터</vt:lpstr>
      <vt:lpstr>경기현황</vt:lpstr>
      <vt:lpstr>column</vt:lpstr>
      <vt:lpstr>등록수정</vt:lpstr>
      <vt:lpstr>로그인여부</vt:lpstr>
      <vt:lpstr>이름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dcterms:created xsi:type="dcterms:W3CDTF">2021-02-17T06:17:55Z</dcterms:created>
  <dcterms:modified xsi:type="dcterms:W3CDTF">2021-02-17T16:36:37Z</dcterms:modified>
</cp:coreProperties>
</file>