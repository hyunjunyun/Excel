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hjun\git\Excel\전국대회\"/>
    </mc:Choice>
  </mc:AlternateContent>
  <xr:revisionPtr revIDLastSave="0" documentId="13_ncr:1_{81CD2BFF-20AA-4D45-BBDA-85E747B3EA38}" xr6:coauthVersionLast="46" xr6:coauthVersionMax="46" xr10:uidLastSave="{00000000-0000-0000-0000-000000000000}"/>
  <bookViews>
    <workbookView xWindow="28680" yWindow="-120" windowWidth="29040" windowHeight="15840" activeTab="1" xr2:uid="{AFAC9F3E-5168-444A-9AE7-F8D7CD754CBF}"/>
  </bookViews>
  <sheets>
    <sheet name="Main" sheetId="1" r:id="rId1"/>
    <sheet name="회원정보" sheetId="2" r:id="rId2"/>
    <sheet name="회원친구관계" sheetId="3" r:id="rId3"/>
    <sheet name="기념일정보" sheetId="4" r:id="rId4"/>
    <sheet name="일정기록" sheetId="5" r:id="rId5"/>
    <sheet name="d-day기록" sheetId="6" r:id="rId6"/>
    <sheet name="차트" sheetId="7" r:id="rId7"/>
    <sheet name="D-day" sheetId="8" r:id="rId8"/>
  </sheets>
  <definedNames>
    <definedName name="_xlnm._FilterDatabase" localSheetId="0" hidden="1">Main!$A:$D</definedName>
    <definedName name="_xlnm._FilterDatabase" localSheetId="2" hidden="1">회원친구관계!$A:$D</definedName>
    <definedName name="_xlnm.Criteria" localSheetId="0">Main!$F$2:$F$3</definedName>
    <definedName name="_xlnm.Criteria" localSheetId="2">회원친구관계!$F$2:$F$4</definedName>
    <definedName name="_xlnm.Extract" localSheetId="2">회원친구관계!$I$2:$K$2</definedName>
    <definedName name="날짜판별">Main!$B$1</definedName>
    <definedName name="카테고리">일정기록!$L$2:$L$8</definedName>
    <definedName name="회원번호">Main!$A$1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" i="3" l="1"/>
  <c r="F3" i="3"/>
  <c r="N1" i="1" l="1"/>
  <c r="O1" i="1" s="1"/>
  <c r="A3" i="1"/>
</calcChain>
</file>

<file path=xl/sharedStrings.xml><?xml version="1.0" encoding="utf-8"?>
<sst xmlns="http://schemas.openxmlformats.org/spreadsheetml/2006/main" count="481" uniqueCount="305">
  <si>
    <t>일</t>
    <phoneticPr fontId="1" type="noConversion"/>
  </si>
  <si>
    <t>월</t>
    <phoneticPr fontId="1" type="noConversion"/>
  </si>
  <si>
    <t>화</t>
    <phoneticPr fontId="1" type="noConversion"/>
  </si>
  <si>
    <t>수</t>
    <phoneticPr fontId="1" type="noConversion"/>
  </si>
  <si>
    <t>목</t>
    <phoneticPr fontId="1" type="noConversion"/>
  </si>
  <si>
    <t>금</t>
    <phoneticPr fontId="1" type="noConversion"/>
  </si>
  <si>
    <t>토</t>
    <phoneticPr fontId="1" type="noConversion"/>
  </si>
  <si>
    <t>알림</t>
    <phoneticPr fontId="1" type="noConversion"/>
  </si>
  <si>
    <t>김민재님에게 친구요청이 있습니다.</t>
    <phoneticPr fontId="1" type="noConversion"/>
  </si>
  <si>
    <t>번호</t>
  </si>
  <si>
    <t>이름</t>
  </si>
  <si>
    <t>아이디</t>
  </si>
  <si>
    <t>비밀번호</t>
  </si>
  <si>
    <t>생년월일</t>
  </si>
  <si>
    <t>알림</t>
  </si>
  <si>
    <t>이서연</t>
  </si>
  <si>
    <t>asd123</t>
  </si>
  <si>
    <t>asd123!</t>
  </si>
  <si>
    <t>강주성</t>
  </si>
  <si>
    <t>bby1127</t>
  </si>
  <si>
    <t>김민재</t>
  </si>
  <si>
    <t>kmj185</t>
  </si>
  <si>
    <t>kmj186!</t>
  </si>
  <si>
    <t>김민혁</t>
  </si>
  <si>
    <t>kmh138</t>
  </si>
  <si>
    <t>kmh139!</t>
  </si>
  <si>
    <t>김승환</t>
  </si>
  <si>
    <t>ksh684</t>
  </si>
  <si>
    <t>ksh685!</t>
  </si>
  <si>
    <t>김지민</t>
  </si>
  <si>
    <t>kjm365</t>
  </si>
  <si>
    <t>kjm366!</t>
  </si>
  <si>
    <t>김자옥</t>
  </si>
  <si>
    <t>kju348</t>
  </si>
  <si>
    <t>kju349!</t>
  </si>
  <si>
    <t>김충현</t>
  </si>
  <si>
    <t>kcn587</t>
  </si>
  <si>
    <t>kcn588!</t>
  </si>
  <si>
    <t>박기업</t>
  </si>
  <si>
    <t>pku264</t>
  </si>
  <si>
    <t>pku265!</t>
  </si>
  <si>
    <t>신청번호</t>
  </si>
  <si>
    <t>상대번호</t>
  </si>
  <si>
    <t>상태</t>
  </si>
  <si>
    <t>거절</t>
  </si>
  <si>
    <t>수락</t>
  </si>
  <si>
    <t>대기</t>
  </si>
  <si>
    <t>기념일</t>
  </si>
  <si>
    <t>휴일</t>
  </si>
  <si>
    <t>새해</t>
  </si>
  <si>
    <t>01월 01일</t>
  </si>
  <si>
    <t>o</t>
  </si>
  <si>
    <t>삼일절</t>
  </si>
  <si>
    <t>03월 01일</t>
  </si>
  <si>
    <t>식목일</t>
  </si>
  <si>
    <t>04월 05일</t>
  </si>
  <si>
    <t>x</t>
  </si>
  <si>
    <t>석가탄신일</t>
  </si>
  <si>
    <t>04월 30일</t>
  </si>
  <si>
    <t>어린이날</t>
  </si>
  <si>
    <t>05월 05일</t>
  </si>
  <si>
    <t>어버이날</t>
  </si>
  <si>
    <t>05월 08일</t>
  </si>
  <si>
    <t>스승의날</t>
  </si>
  <si>
    <t>05월 15일</t>
  </si>
  <si>
    <t>현충일</t>
  </si>
  <si>
    <t>06월 06일</t>
  </si>
  <si>
    <t>06월 25일</t>
  </si>
  <si>
    <t>제헌절</t>
  </si>
  <si>
    <t>07월 17일</t>
  </si>
  <si>
    <t>광복절</t>
  </si>
  <si>
    <t>08월 15일</t>
  </si>
  <si>
    <t>개천절</t>
  </si>
  <si>
    <t>10월 03일</t>
  </si>
  <si>
    <t>한글날</t>
  </si>
  <si>
    <t>10월 09일</t>
  </si>
  <si>
    <t>크리스마스</t>
  </si>
  <si>
    <t>12월 25일</t>
  </si>
  <si>
    <t>제목</t>
  </si>
  <si>
    <t>시작시간</t>
  </si>
  <si>
    <t>끝시간</t>
  </si>
  <si>
    <t>주최자</t>
  </si>
  <si>
    <t>참석자</t>
  </si>
  <si>
    <t>불참석자</t>
  </si>
  <si>
    <t>미정</t>
  </si>
  <si>
    <t>카테고리</t>
  </si>
  <si>
    <t>설명</t>
  </si>
  <si>
    <t>동창회</t>
  </si>
  <si>
    <t>1,2</t>
  </si>
  <si>
    <t>모임</t>
  </si>
  <si>
    <t>중학교 2학년 동창회</t>
  </si>
  <si>
    <t>운동</t>
  </si>
  <si>
    <t>매일 다이어트운동</t>
  </si>
  <si>
    <t>여가시간</t>
  </si>
  <si>
    <t>게임</t>
  </si>
  <si>
    <t>주말마다 게임같이하자</t>
  </si>
  <si>
    <t>식사약속</t>
  </si>
  <si>
    <t>2,3</t>
  </si>
  <si>
    <t>식사</t>
  </si>
  <si>
    <t>미팅</t>
  </si>
  <si>
    <t>기타</t>
  </si>
  <si>
    <t>스터디</t>
  </si>
  <si>
    <t>공부</t>
  </si>
  <si>
    <t>하이하이</t>
  </si>
  <si>
    <t>카페</t>
  </si>
  <si>
    <t>친구와의 만남</t>
  </si>
  <si>
    <t>영화</t>
  </si>
  <si>
    <t>1,2,3,4</t>
  </si>
  <si>
    <t>가족끼리의 영화</t>
  </si>
  <si>
    <t>사업적 미팅</t>
  </si>
  <si>
    <t>캠핑</t>
  </si>
  <si>
    <t>1,3</t>
  </si>
  <si>
    <t>친구들과의 캠핑</t>
  </si>
  <si>
    <t>여행</t>
  </si>
  <si>
    <t>소개팅</t>
  </si>
  <si>
    <t>1,2,3</t>
  </si>
  <si>
    <t>친구의 주선 소개팅</t>
  </si>
  <si>
    <t>운동클럽</t>
  </si>
  <si>
    <t>축구 운동회</t>
  </si>
  <si>
    <t>연말파티</t>
  </si>
  <si>
    <t>1,2,4</t>
  </si>
  <si>
    <t>대학 동창들과</t>
  </si>
  <si>
    <t>헬스클럽</t>
  </si>
  <si>
    <t>3,4</t>
  </si>
  <si>
    <t>메이플</t>
  </si>
  <si>
    <t>도서관</t>
  </si>
  <si>
    <t>뷔페</t>
  </si>
  <si>
    <t>맛있는 애슐리</t>
  </si>
  <si>
    <t>피트니스</t>
  </si>
  <si>
    <t>독서</t>
  </si>
  <si>
    <t>2,4</t>
  </si>
  <si>
    <t>살아있다 관람</t>
  </si>
  <si>
    <t>동호회</t>
  </si>
  <si>
    <t>배드민턴 동호회</t>
  </si>
  <si>
    <t>집 옥상에서 소소한 캠핑</t>
  </si>
  <si>
    <t>메이플스토리</t>
  </si>
  <si>
    <t>데이트</t>
  </si>
  <si>
    <t>가족회의</t>
  </si>
  <si>
    <t>제사</t>
  </si>
  <si>
    <t>할아버지 제사</t>
  </si>
  <si>
    <t>컴퓨터 조립</t>
  </si>
  <si>
    <t>컴퓨터 구입 후 조립</t>
  </si>
  <si>
    <t>마스크 구입</t>
  </si>
  <si>
    <t>인터넷 검색 후 구입</t>
  </si>
  <si>
    <t>알고리즘 풀기</t>
  </si>
  <si>
    <t>어머니 생신</t>
  </si>
  <si>
    <t>가족식사</t>
  </si>
  <si>
    <t>뷔페식사</t>
  </si>
  <si>
    <t>헬창클럽</t>
  </si>
  <si>
    <t>1,4</t>
  </si>
  <si>
    <t>같이 헬스하실?</t>
  </si>
  <si>
    <t>메철롤</t>
  </si>
  <si>
    <t>메이플하자</t>
  </si>
  <si>
    <t>식사오육칠</t>
  </si>
  <si>
    <t>1,4,5</t>
  </si>
  <si>
    <t>밥좀먹고 살자</t>
  </si>
  <si>
    <t>아그작아그작</t>
  </si>
  <si>
    <t>4,5</t>
  </si>
  <si>
    <t>월간모임</t>
  </si>
  <si>
    <t>격주모임</t>
  </si>
  <si>
    <t>1,2,6</t>
  </si>
  <si>
    <t>트수지지</t>
  </si>
  <si>
    <t>기타연습</t>
  </si>
  <si>
    <t>1,3,5</t>
  </si>
  <si>
    <t>밴드부</t>
  </si>
  <si>
    <t>7,8</t>
  </si>
  <si>
    <t>뱅드림</t>
  </si>
  <si>
    <t>클오클</t>
  </si>
  <si>
    <t>게임좀 하자</t>
  </si>
  <si>
    <t>매운 잠뽕 도전</t>
  </si>
  <si>
    <t>1,6,5</t>
  </si>
  <si>
    <t>3,7</t>
  </si>
  <si>
    <t>휴가여행</t>
  </si>
  <si>
    <t>1,5,7,8</t>
  </si>
  <si>
    <t>각오는?</t>
  </si>
  <si>
    <t>회의</t>
  </si>
  <si>
    <t>술자리</t>
  </si>
  <si>
    <t>8,2,4,5</t>
  </si>
  <si>
    <t>만렙 가능</t>
  </si>
  <si>
    <t>소고기</t>
  </si>
  <si>
    <t>게임 대회</t>
  </si>
  <si>
    <t>5,6,9</t>
  </si>
  <si>
    <t>1등? 700만원 가져오자</t>
  </si>
  <si>
    <t>수면 캡술</t>
  </si>
  <si>
    <t>2,3,4,5</t>
  </si>
  <si>
    <t>오랜만에</t>
  </si>
  <si>
    <t>지방 친구 만나기</t>
  </si>
  <si>
    <t>2,6</t>
  </si>
  <si>
    <t>지방 친구한테 놀러가기</t>
  </si>
  <si>
    <t>부모님과 식사</t>
  </si>
  <si>
    <t>헬스</t>
  </si>
  <si>
    <t>1,7,8,9</t>
  </si>
  <si>
    <t>작심삼일?</t>
  </si>
  <si>
    <t>회원번호</t>
  </si>
  <si>
    <t>날짜</t>
  </si>
  <si>
    <t>100일기념</t>
  </si>
  <si>
    <t>데이트 약속</t>
  </si>
  <si>
    <t>효도</t>
  </si>
  <si>
    <t>엄마에게 전화</t>
  </si>
  <si>
    <t>친구들과 농구</t>
  </si>
  <si>
    <t>쇼핑</t>
  </si>
  <si>
    <t>컴퓨터 교체</t>
  </si>
  <si>
    <t>헬스장에서 2시간운동</t>
  </si>
  <si>
    <t>브라질 슈하스코에서 식사</t>
  </si>
  <si>
    <t>맛집 탐방</t>
  </si>
  <si>
    <t>휴식</t>
  </si>
  <si>
    <t>가벼운 낮잠</t>
  </si>
  <si>
    <t>휴가</t>
  </si>
  <si>
    <t>속초에 가서 낚시</t>
  </si>
  <si>
    <t>동네 축구장에서 축구</t>
  </si>
  <si>
    <t>연애</t>
  </si>
  <si>
    <t>연인과 달달한 빼빼로 교환</t>
  </si>
  <si>
    <t>생일</t>
  </si>
  <si>
    <t>가족들과 생일파티</t>
  </si>
  <si>
    <t>여가생활</t>
  </si>
  <si>
    <t>클래식 노래와 함께 독서</t>
  </si>
  <si>
    <t>새해를 맞이하기전 파티</t>
  </si>
  <si>
    <t>당일치기 여행</t>
  </si>
  <si>
    <t>친구들과 게임</t>
  </si>
  <si>
    <t>저녁약속</t>
  </si>
  <si>
    <t>가족들과 저녁식사</t>
  </si>
  <si>
    <t>산책</t>
  </si>
  <si>
    <t>동네 한바퀴</t>
  </si>
  <si>
    <t>시험공부</t>
  </si>
  <si>
    <t>한국사 정리</t>
  </si>
  <si>
    <t>문학 책 읽기</t>
  </si>
  <si>
    <t>노래방</t>
  </si>
  <si>
    <t>애창곡 섭렵</t>
  </si>
  <si>
    <t>옷 사기</t>
  </si>
  <si>
    <t>피시방 대회</t>
  </si>
  <si>
    <t>기타 학원 가기</t>
  </si>
  <si>
    <t>영화 '살아있다' 관람</t>
  </si>
  <si>
    <t>빼빼로데이</t>
  </si>
  <si>
    <t>빼빼로 혼자 섭취</t>
  </si>
  <si>
    <t>롤챔스</t>
  </si>
  <si>
    <t>롤 대회 관람</t>
  </si>
  <si>
    <t>가족 식사약속</t>
  </si>
  <si>
    <t>맨몸운동</t>
  </si>
  <si>
    <t>돌잔치</t>
  </si>
  <si>
    <t>친구 돌잔치</t>
  </si>
  <si>
    <t>자격증</t>
  </si>
  <si>
    <t>전기 관련 자격증 시험</t>
  </si>
  <si>
    <t>옷사기</t>
  </si>
  <si>
    <t>장보기</t>
  </si>
  <si>
    <t>마트가서 생활용품 구입</t>
  </si>
  <si>
    <t>킹스맨: 퍼스트 에이전트 관람</t>
  </si>
  <si>
    <t>이벤트하기</t>
  </si>
  <si>
    <t>만화카페</t>
  </si>
  <si>
    <t>만화책 보기</t>
  </si>
  <si>
    <t>한국사공부</t>
  </si>
  <si>
    <t>한국사자격증 공부</t>
  </si>
  <si>
    <t>빙하낚시</t>
  </si>
  <si>
    <t>빙판을 깨서 낚시</t>
  </si>
  <si>
    <t>영화보기</t>
  </si>
  <si>
    <t>부모님 뵈러가기</t>
  </si>
  <si>
    <t>병원</t>
  </si>
  <si>
    <t>건강검진 받으러가기</t>
  </si>
  <si>
    <t>232일 기념</t>
  </si>
  <si>
    <t>부동산</t>
  </si>
  <si>
    <t>집 보러가기</t>
  </si>
  <si>
    <t>비즈니스 미팅</t>
  </si>
  <si>
    <t>등산</t>
  </si>
  <si>
    <t>대모산 등반</t>
  </si>
  <si>
    <t>닌텐도 스위치 사기</t>
  </si>
  <si>
    <t>은행</t>
  </si>
  <si>
    <t>계좌 개설하기</t>
  </si>
  <si>
    <t>결혼식</t>
  </si>
  <si>
    <t>결혼식 초대 약속</t>
  </si>
  <si>
    <t>친구들과 생일 파티</t>
  </si>
  <si>
    <t>행사</t>
  </si>
  <si>
    <t>팬미팅 참가</t>
  </si>
  <si>
    <t>돈 찾기</t>
  </si>
  <si>
    <t>은행 가기</t>
  </si>
  <si>
    <t>책 사러가기</t>
  </si>
  <si>
    <t>낚시</t>
  </si>
  <si>
    <t>울릉도에서 벵어돔 낚시</t>
  </si>
  <si>
    <t>영화 '이터널스' 관람</t>
  </si>
  <si>
    <t>종강</t>
  </si>
  <si>
    <t>종강파티</t>
  </si>
  <si>
    <t>자전거타고 친구들과 한강가기</t>
  </si>
  <si>
    <t>플스 4 사기</t>
  </si>
  <si>
    <t>람보르기니 우르스 맛만 보기</t>
  </si>
  <si>
    <t xml:space="preserve">효도 </t>
  </si>
  <si>
    <t>부모님과 저녁 먹기</t>
  </si>
  <si>
    <t>불금</t>
  </si>
  <si>
    <t>친구들과 술자리</t>
  </si>
  <si>
    <t>방탈출</t>
  </si>
  <si>
    <t>방탈출 온라인 게임 해보기</t>
  </si>
  <si>
    <t>패러슈팅</t>
  </si>
  <si>
    <t>식사</t>
    <phoneticPr fontId="1" type="noConversion"/>
  </si>
  <si>
    <t>회의</t>
    <phoneticPr fontId="1" type="noConversion"/>
  </si>
  <si>
    <t>모임</t>
    <phoneticPr fontId="1" type="noConversion"/>
  </si>
  <si>
    <t>게임</t>
    <phoneticPr fontId="1" type="noConversion"/>
  </si>
  <si>
    <t>공부</t>
    <phoneticPr fontId="1" type="noConversion"/>
  </si>
  <si>
    <t>기타</t>
    <phoneticPr fontId="1" type="noConversion"/>
  </si>
  <si>
    <t>번호</t>
    <phoneticPr fontId="1" type="noConversion"/>
  </si>
  <si>
    <t>신청번호</t>
    <phoneticPr fontId="1" type="noConversion"/>
  </si>
  <si>
    <t>상대번호</t>
    <phoneticPr fontId="1" type="noConversion"/>
  </si>
  <si>
    <t>상태</t>
    <phoneticPr fontId="1" type="noConversion"/>
  </si>
  <si>
    <t>이름</t>
    <phoneticPr fontId="1" type="noConversion"/>
  </si>
  <si>
    <t>zzz</t>
    <phoneticPr fontId="1" type="noConversion"/>
  </si>
  <si>
    <t>아이디</t>
    <phoneticPr fontId="1" type="noConversion"/>
  </si>
  <si>
    <t>생년월일</t>
    <phoneticPr fontId="1" type="noConversion"/>
  </si>
  <si>
    <t>대기</t>
    <phoneticPr fontId="1" type="noConversion"/>
  </si>
  <si>
    <t xml:space="preserve"> 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</si>
</sst>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$-F800]dddd\,\ mmmm\ dd\,\ yyyy"/>
  </numFmts>
  <fonts count="8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8"/>
      <color theme="1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1"/>
      <color theme="1"/>
      <name val="Wingdings 2"/>
      <family val="1"/>
      <charset val="2"/>
    </font>
    <font>
      <sz val="11"/>
      <color theme="1"/>
      <name val="맑은 고딕"/>
      <family val="1"/>
      <charset val="2"/>
    </font>
    <font>
      <sz val="11"/>
      <color theme="1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34998626667073579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3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2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4" fillId="0" borderId="0" xfId="0" applyFont="1" applyBorder="1" applyAlignment="1">
      <alignment vertical="center"/>
    </xf>
    <xf numFmtId="14" fontId="0" fillId="0" borderId="0" xfId="0" applyNumberFormat="1">
      <alignment vertical="center"/>
    </xf>
    <xf numFmtId="0" fontId="7" fillId="0" borderId="0" xfId="0" applyFont="1">
      <alignment vertical="center"/>
    </xf>
    <xf numFmtId="0" fontId="0" fillId="0" borderId="0" xfId="0" applyFont="1">
      <alignment vertical="center"/>
    </xf>
    <xf numFmtId="14" fontId="0" fillId="3" borderId="0" xfId="0" applyNumberFormat="1" applyFont="1" applyFill="1">
      <alignment vertical="center"/>
    </xf>
    <xf numFmtId="0" fontId="0" fillId="3" borderId="0" xfId="0" applyFont="1" applyFill="1">
      <alignment vertical="center"/>
    </xf>
    <xf numFmtId="0" fontId="0" fillId="0" borderId="1" xfId="0" applyFont="1" applyBorder="1" applyAlignment="1">
      <alignment horizontal="center" vertical="center"/>
    </xf>
    <xf numFmtId="0" fontId="0" fillId="0" borderId="0" xfId="0" applyFont="1" applyBorder="1" applyAlignment="1">
      <alignment horizontal="center" vertical="center"/>
    </xf>
    <xf numFmtId="0" fontId="0" fillId="2" borderId="1" xfId="0" applyFont="1" applyFill="1" applyBorder="1" applyAlignment="1">
      <alignment horizontal="center" vertical="center"/>
    </xf>
    <xf numFmtId="0" fontId="0" fillId="0" borderId="0" xfId="0" applyFont="1" applyBorder="1" applyAlignment="1">
      <alignment vertical="top"/>
    </xf>
    <xf numFmtId="14" fontId="0" fillId="0" borderId="1" xfId="0" applyNumberFormat="1" applyFont="1" applyBorder="1">
      <alignment vertical="center"/>
    </xf>
    <xf numFmtId="0" fontId="0" fillId="0" borderId="3" xfId="0" applyFont="1" applyBorder="1" applyAlignment="1">
      <alignment vertical="top"/>
    </xf>
    <xf numFmtId="0" fontId="0" fillId="0" borderId="0" xfId="0" applyFont="1" applyBorder="1">
      <alignment vertical="center"/>
    </xf>
    <xf numFmtId="0" fontId="0" fillId="0" borderId="3" xfId="0" applyFont="1" applyBorder="1" applyAlignment="1">
      <alignment horizontal="center" vertical="top"/>
    </xf>
    <xf numFmtId="0" fontId="0" fillId="0" borderId="4" xfId="0" applyFont="1" applyBorder="1" applyAlignment="1">
      <alignment vertical="top"/>
    </xf>
    <xf numFmtId="14" fontId="0" fillId="0" borderId="0" xfId="0" applyNumberFormat="1" applyFont="1">
      <alignment vertical="center"/>
    </xf>
    <xf numFmtId="0" fontId="0" fillId="0" borderId="2" xfId="0" applyFont="1" applyBorder="1" applyAlignment="1">
      <alignment horizontal="center" vertical="top"/>
    </xf>
    <xf numFmtId="0" fontId="7" fillId="0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7" fillId="0" borderId="0" xfId="0" applyFont="1" applyFill="1" applyBorder="1" applyAlignment="1">
      <alignment horizontal="center" vertical="center"/>
    </xf>
    <xf numFmtId="0" fontId="7" fillId="0" borderId="0" xfId="0" applyFont="1" applyBorder="1">
      <alignment vertical="center"/>
    </xf>
    <xf numFmtId="14" fontId="7" fillId="0" borderId="0" xfId="0" applyNumberFormat="1" applyFont="1">
      <alignment vertical="center"/>
    </xf>
    <xf numFmtId="176" fontId="3" fillId="0" borderId="0" xfId="0" applyNumberFormat="1" applyFont="1" applyAlignment="1">
      <alignment horizontal="center" vertical="center"/>
    </xf>
  </cellXfs>
  <cellStyles count="1">
    <cellStyle name="표준" xfId="0" builtinId="0"/>
  </cellStyles>
  <dxfs count="7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5" tint="0.39994506668294322"/>
      </font>
    </dxf>
    <dxf>
      <font>
        <color theme="5" tint="-0.2499465926084170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7</xdr:row>
          <xdr:rowOff>95250</xdr:rowOff>
        </xdr:from>
        <xdr:to>
          <xdr:col>2</xdr:col>
          <xdr:colOff>781050</xdr:colOff>
          <xdr:row>9</xdr:row>
          <xdr:rowOff>38100</xdr:rowOff>
        </xdr:to>
        <xdr:sp macro="" textlink="">
          <xdr:nvSpPr>
            <xdr:cNvPr id="1025" name="btn일정보기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466725</xdr:colOff>
          <xdr:row>7</xdr:row>
          <xdr:rowOff>95250</xdr:rowOff>
        </xdr:from>
        <xdr:to>
          <xdr:col>5</xdr:col>
          <xdr:colOff>371475</xdr:colOff>
          <xdr:row>9</xdr:row>
          <xdr:rowOff>38100</xdr:rowOff>
        </xdr:to>
        <xdr:sp macro="" textlink="">
          <xdr:nvSpPr>
            <xdr:cNvPr id="1026" name="btn차트보기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85725</xdr:rowOff>
        </xdr:from>
        <xdr:to>
          <xdr:col>7</xdr:col>
          <xdr:colOff>723900</xdr:colOff>
          <xdr:row>9</xdr:row>
          <xdr:rowOff>28575</xdr:rowOff>
        </xdr:to>
        <xdr:sp macro="" textlink="">
          <xdr:nvSpPr>
            <xdr:cNvPr id="1027" name="btn디데이보기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276226</xdr:colOff>
      <xdr:row>9</xdr:row>
      <xdr:rowOff>180975</xdr:rowOff>
    </xdr:from>
    <xdr:to>
      <xdr:col>3</xdr:col>
      <xdr:colOff>0</xdr:colOff>
      <xdr:row>17</xdr:row>
      <xdr:rowOff>9525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085851" y="2190750"/>
          <a:ext cx="1343024" cy="15049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8800">
              <a:solidFill>
                <a:schemeClr val="accent1"/>
              </a:solidFill>
              <a:sym typeface="Webdings" panose="05030102010509060703" pitchFamily="18" charset="2"/>
            </a:rPr>
            <a:t></a:t>
          </a:r>
          <a:endParaRPr lang="ko-KR" altLang="en-US" sz="8800">
            <a:solidFill>
              <a:schemeClr val="accent1"/>
            </a:solidFill>
          </a:endParaRPr>
        </a:p>
      </xdr:txBody>
    </xdr:sp>
    <xdr:clientData/>
  </xdr:twoCellAnchor>
  <xdr:twoCellAnchor>
    <xdr:from>
      <xdr:col>3</xdr:col>
      <xdr:colOff>495301</xdr:colOff>
      <xdr:row>9</xdr:row>
      <xdr:rowOff>123825</xdr:rowOff>
    </xdr:from>
    <xdr:to>
      <xdr:col>5</xdr:col>
      <xdr:colOff>219075</xdr:colOff>
      <xdr:row>16</xdr:row>
      <xdr:rowOff>161925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2924176" y="2133600"/>
          <a:ext cx="1343024" cy="15049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8800">
              <a:solidFill>
                <a:schemeClr val="accent1"/>
              </a:solidFill>
              <a:sym typeface="Webdings" panose="05030102010509060703" pitchFamily="18" charset="2"/>
            </a:rPr>
            <a:t></a:t>
          </a:r>
          <a:endParaRPr lang="ko-KR" altLang="en-US" sz="8800">
            <a:solidFill>
              <a:schemeClr val="accent1"/>
            </a:solidFill>
          </a:endParaRPr>
        </a:p>
      </xdr:txBody>
    </xdr:sp>
    <xdr:clientData/>
  </xdr:twoCellAnchor>
  <xdr:twoCellAnchor>
    <xdr:from>
      <xdr:col>5</xdr:col>
      <xdr:colOff>723901</xdr:colOff>
      <xdr:row>9</xdr:row>
      <xdr:rowOff>171450</xdr:rowOff>
    </xdr:from>
    <xdr:to>
      <xdr:col>7</xdr:col>
      <xdr:colOff>447675</xdr:colOff>
      <xdr:row>17</xdr:row>
      <xdr:rowOff>0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4772026" y="2181225"/>
          <a:ext cx="1343024" cy="15049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8800">
              <a:solidFill>
                <a:schemeClr val="accent1"/>
              </a:solidFill>
              <a:sym typeface="Webdings" panose="05030102010509060703" pitchFamily="18" charset="2"/>
            </a:rPr>
            <a:t></a:t>
          </a:r>
          <a:endParaRPr lang="ko-KR" altLang="en-US" sz="8800">
            <a:solidFill>
              <a:schemeClr val="accent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600075</xdr:colOff>
          <xdr:row>1</xdr:row>
          <xdr:rowOff>152400</xdr:rowOff>
        </xdr:from>
        <xdr:to>
          <xdr:col>9</xdr:col>
          <xdr:colOff>1524000</xdr:colOff>
          <xdr:row>2</xdr:row>
          <xdr:rowOff>295275</xdr:rowOff>
        </xdr:to>
        <xdr:sp macro="" textlink="">
          <xdr:nvSpPr>
            <xdr:cNvPr id="1028" name="btn친구창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1</xdr:row>
          <xdr:rowOff>152400</xdr:rowOff>
        </xdr:from>
        <xdr:to>
          <xdr:col>12</xdr:col>
          <xdr:colOff>276225</xdr:colOff>
          <xdr:row>2</xdr:row>
          <xdr:rowOff>295275</xdr:rowOff>
        </xdr:to>
        <xdr:sp macro="" textlink="">
          <xdr:nvSpPr>
            <xdr:cNvPr id="1030" name="btn로그인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9D8B6-824F-4FCB-B2C7-219AF57BF5E2}">
  <sheetPr codeName="Sheet1"/>
  <dimension ref="A1:P27"/>
  <sheetViews>
    <sheetView showGridLines="0" workbookViewId="0">
      <selection activeCell="J15" sqref="J15"/>
    </sheetView>
  </sheetViews>
  <sheetFormatPr defaultRowHeight="16.5" x14ac:dyDescent="0.3"/>
  <cols>
    <col min="1" max="7" width="10.625" customWidth="1"/>
    <col min="8" max="8" width="11.125" bestFit="1" customWidth="1"/>
    <col min="9" max="9" width="32" customWidth="1"/>
    <col min="10" max="10" width="33.625" bestFit="1" customWidth="1"/>
    <col min="11" max="11" width="10.625" customWidth="1"/>
    <col min="14" max="14" width="11.125" bestFit="1" customWidth="1"/>
  </cols>
  <sheetData>
    <row r="1" spans="1:16" x14ac:dyDescent="0.3">
      <c r="A1" s="12">
        <v>1</v>
      </c>
      <c r="B1" s="12">
        <v>0</v>
      </c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3">
        <f ca="1">TODAY()</f>
        <v>44237</v>
      </c>
      <c r="O1" s="14" t="str">
        <f ca="1">TEXT(N1,"aaa")</f>
        <v>수</v>
      </c>
      <c r="P1" s="12"/>
    </row>
    <row r="2" spans="1:16" x14ac:dyDescent="0.3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</row>
    <row r="3" spans="1:16" ht="26.25" x14ac:dyDescent="0.3">
      <c r="A3" s="32">
        <f t="shared" ref="A3" ca="1" si="0">TODAY()</f>
        <v>44237</v>
      </c>
      <c r="B3" s="32"/>
      <c r="C3" s="32"/>
      <c r="D3" s="32"/>
      <c r="E3" s="32"/>
      <c r="F3" s="32"/>
      <c r="G3" s="32"/>
      <c r="H3" s="12"/>
      <c r="I3" s="12"/>
      <c r="J3" s="12"/>
      <c r="K3" s="12"/>
      <c r="L3" s="12"/>
      <c r="M3" s="12"/>
      <c r="N3" s="12"/>
      <c r="O3" s="12"/>
      <c r="P3" s="12"/>
    </row>
    <row r="4" spans="1:16" x14ac:dyDescent="0.3">
      <c r="A4" s="12"/>
      <c r="B4" s="12"/>
      <c r="C4" s="12"/>
      <c r="D4" s="12"/>
      <c r="E4" s="12"/>
      <c r="F4" s="12"/>
      <c r="G4" s="12"/>
      <c r="H4" s="12"/>
      <c r="I4" s="12"/>
      <c r="J4" s="15" t="s">
        <v>7</v>
      </c>
      <c r="K4" s="16"/>
      <c r="L4" s="12"/>
      <c r="M4" s="12"/>
      <c r="N4" s="12"/>
      <c r="O4" s="12"/>
      <c r="P4" s="12"/>
    </row>
    <row r="5" spans="1:16" x14ac:dyDescent="0.3">
      <c r="A5" s="12"/>
      <c r="B5" s="17" t="s">
        <v>0</v>
      </c>
      <c r="C5" s="17" t="s">
        <v>1</v>
      </c>
      <c r="D5" s="17" t="s">
        <v>2</v>
      </c>
      <c r="E5" s="17" t="s">
        <v>3</v>
      </c>
      <c r="F5" s="17" t="s">
        <v>4</v>
      </c>
      <c r="G5" s="17" t="s">
        <v>5</v>
      </c>
      <c r="H5" s="17" t="s">
        <v>6</v>
      </c>
      <c r="I5" s="12"/>
      <c r="J5" s="25" t="s">
        <v>8</v>
      </c>
      <c r="K5" s="18"/>
      <c r="L5" s="12"/>
      <c r="M5" s="12"/>
      <c r="N5" s="12"/>
      <c r="O5" s="12"/>
      <c r="P5" s="12"/>
    </row>
    <row r="6" spans="1:16" x14ac:dyDescent="0.3">
      <c r="A6" s="12"/>
      <c r="B6" s="19">
        <v>44234</v>
      </c>
      <c r="C6" s="19">
        <v>44235</v>
      </c>
      <c r="D6" s="19">
        <v>44236</v>
      </c>
      <c r="E6" s="19">
        <v>44237</v>
      </c>
      <c r="F6" s="19">
        <v>44238</v>
      </c>
      <c r="G6" s="19">
        <v>44239</v>
      </c>
      <c r="H6" s="19">
        <v>44240</v>
      </c>
      <c r="I6" s="12"/>
      <c r="J6" s="20"/>
      <c r="K6" s="18"/>
      <c r="L6" s="12"/>
      <c r="M6" s="12"/>
      <c r="N6" s="12"/>
      <c r="O6" s="12"/>
      <c r="P6" s="12"/>
    </row>
    <row r="7" spans="1:16" x14ac:dyDescent="0.3">
      <c r="A7" s="12"/>
      <c r="B7" s="12"/>
      <c r="C7" s="12"/>
      <c r="D7" s="12"/>
      <c r="E7" s="12"/>
      <c r="F7" s="12"/>
      <c r="G7" s="12"/>
      <c r="H7" s="12"/>
      <c r="I7" s="12"/>
      <c r="J7" s="20"/>
      <c r="K7" s="18"/>
      <c r="L7" s="12"/>
      <c r="M7" s="12"/>
      <c r="N7" s="12"/>
      <c r="O7" s="12"/>
      <c r="P7" s="12"/>
    </row>
    <row r="8" spans="1:16" x14ac:dyDescent="0.3">
      <c r="A8" s="12"/>
      <c r="B8" s="12"/>
      <c r="C8" s="12"/>
      <c r="D8" s="12"/>
      <c r="E8" s="12"/>
      <c r="F8" s="12"/>
      <c r="G8" s="12"/>
      <c r="H8" s="12"/>
      <c r="I8" s="12"/>
      <c r="J8" s="20"/>
      <c r="K8" s="18"/>
      <c r="L8" s="12"/>
      <c r="M8" s="12"/>
      <c r="N8" s="12"/>
      <c r="O8" s="12"/>
      <c r="P8" s="12"/>
    </row>
    <row r="9" spans="1:16" x14ac:dyDescent="0.3">
      <c r="A9" s="12"/>
      <c r="B9" s="12"/>
      <c r="C9" s="12"/>
      <c r="D9" s="12"/>
      <c r="E9" s="12"/>
      <c r="F9" s="12"/>
      <c r="G9" s="12"/>
      <c r="H9" s="12"/>
      <c r="I9" s="12"/>
      <c r="J9" s="20"/>
      <c r="K9" s="18"/>
      <c r="L9" s="12"/>
      <c r="M9" s="12"/>
      <c r="N9" s="12"/>
      <c r="O9" s="12"/>
      <c r="P9" s="12"/>
    </row>
    <row r="10" spans="1:16" x14ac:dyDescent="0.3">
      <c r="A10" s="12"/>
      <c r="B10" s="12"/>
      <c r="C10" s="12"/>
      <c r="D10" s="21"/>
      <c r="E10" s="12"/>
      <c r="F10" s="12"/>
      <c r="G10" s="12"/>
      <c r="H10" s="12"/>
      <c r="I10" s="12"/>
      <c r="J10" s="20"/>
      <c r="K10" s="18"/>
      <c r="L10" s="12"/>
      <c r="M10" s="12"/>
      <c r="N10" s="12"/>
      <c r="O10" s="12"/>
      <c r="P10" s="12"/>
    </row>
    <row r="11" spans="1:16" x14ac:dyDescent="0.3">
      <c r="A11" s="12"/>
      <c r="B11" s="12"/>
      <c r="C11" s="12"/>
      <c r="D11" s="12"/>
      <c r="E11" s="12"/>
      <c r="F11" s="12"/>
      <c r="G11" s="12"/>
      <c r="H11" s="12"/>
      <c r="I11" s="12"/>
      <c r="J11" s="22"/>
      <c r="K11" s="18"/>
      <c r="L11" s="12"/>
      <c r="M11" s="12"/>
      <c r="N11" s="12"/>
      <c r="O11" s="12"/>
      <c r="P11" s="12"/>
    </row>
    <row r="12" spans="1:16" x14ac:dyDescent="0.3">
      <c r="A12" s="12"/>
      <c r="B12" s="12"/>
      <c r="C12" s="12"/>
      <c r="D12" s="12"/>
      <c r="E12" s="12"/>
      <c r="F12" s="12"/>
      <c r="G12" s="12"/>
      <c r="H12" s="12"/>
      <c r="I12" s="12"/>
      <c r="J12" s="20"/>
      <c r="K12" s="18"/>
      <c r="L12" s="12"/>
      <c r="M12" s="12"/>
      <c r="N12" s="12"/>
      <c r="O12" s="12"/>
      <c r="P12" s="12"/>
    </row>
    <row r="13" spans="1:16" x14ac:dyDescent="0.3">
      <c r="A13" s="12"/>
      <c r="B13" s="12"/>
      <c r="C13" s="12"/>
      <c r="D13" s="12"/>
      <c r="E13" s="12"/>
      <c r="F13" s="12"/>
      <c r="G13" s="12"/>
      <c r="H13" s="12"/>
      <c r="I13" s="12"/>
      <c r="J13" s="20"/>
      <c r="K13" s="18"/>
      <c r="L13" s="12"/>
      <c r="M13" s="12"/>
      <c r="N13" s="12"/>
      <c r="O13" s="12"/>
      <c r="P13" s="12"/>
    </row>
    <row r="14" spans="1:16" x14ac:dyDescent="0.3">
      <c r="A14" s="12"/>
      <c r="B14" s="12"/>
      <c r="C14" s="12"/>
      <c r="D14" s="12"/>
      <c r="E14" s="12"/>
      <c r="F14" s="12"/>
      <c r="G14" s="12"/>
      <c r="H14" s="12"/>
      <c r="I14" s="12"/>
      <c r="J14" s="20"/>
      <c r="K14" s="18"/>
      <c r="L14" s="12"/>
      <c r="M14" s="12"/>
      <c r="N14" s="12"/>
      <c r="O14" s="12"/>
      <c r="P14" s="12"/>
    </row>
    <row r="15" spans="1:16" x14ac:dyDescent="0.3">
      <c r="A15" s="12"/>
      <c r="B15" s="12"/>
      <c r="C15" s="12"/>
      <c r="D15" s="12"/>
      <c r="E15" s="12"/>
      <c r="F15" s="12"/>
      <c r="G15" s="12"/>
      <c r="H15" s="12"/>
      <c r="I15" s="12"/>
      <c r="J15" s="20"/>
      <c r="K15" s="18"/>
      <c r="L15" s="12"/>
      <c r="M15" s="12"/>
      <c r="N15" s="12"/>
      <c r="O15" s="12"/>
      <c r="P15" s="12"/>
    </row>
    <row r="16" spans="1:16" x14ac:dyDescent="0.3">
      <c r="A16" s="12"/>
      <c r="B16" s="12"/>
      <c r="C16" s="12"/>
      <c r="D16" s="12"/>
      <c r="E16" s="12"/>
      <c r="F16" s="12"/>
      <c r="G16" s="12"/>
      <c r="H16" s="12"/>
      <c r="I16" s="12"/>
      <c r="J16" s="23"/>
      <c r="K16" s="18"/>
      <c r="L16" s="12"/>
      <c r="M16" s="12"/>
      <c r="N16" s="12"/>
      <c r="O16" s="12"/>
      <c r="P16" s="12"/>
    </row>
    <row r="17" spans="1:16" x14ac:dyDescent="0.3">
      <c r="A17" s="12"/>
      <c r="B17" s="12"/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</row>
    <row r="18" spans="1:16" x14ac:dyDescent="0.3">
      <c r="A18" s="12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</row>
    <row r="19" spans="1:16" x14ac:dyDescent="0.3">
      <c r="A19" s="12"/>
      <c r="B19" s="12"/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</row>
    <row r="20" spans="1:16" x14ac:dyDescent="0.3">
      <c r="A20" s="12"/>
      <c r="B20" s="12"/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</row>
    <row r="21" spans="1:16" x14ac:dyDescent="0.3">
      <c r="A21" s="12"/>
      <c r="B21" s="12"/>
      <c r="C21" s="12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</row>
    <row r="22" spans="1:16" x14ac:dyDescent="0.3">
      <c r="A22" s="12"/>
      <c r="B22" s="12"/>
      <c r="C22" s="24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</row>
    <row r="23" spans="1:16" x14ac:dyDescent="0.3">
      <c r="A23" s="12"/>
      <c r="B23" s="12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</row>
    <row r="24" spans="1:16" x14ac:dyDescent="0.3">
      <c r="A24" s="12"/>
      <c r="B24" s="12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</row>
    <row r="25" spans="1:16" x14ac:dyDescent="0.3">
      <c r="A25" s="12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</row>
    <row r="26" spans="1:16" x14ac:dyDescent="0.3">
      <c r="A26" s="12"/>
      <c r="B26" s="12"/>
      <c r="C26" s="12"/>
      <c r="D26" s="12"/>
      <c r="E26" s="12"/>
      <c r="F26" s="12"/>
      <c r="G26" s="12"/>
      <c r="H26" s="12"/>
      <c r="I26" s="5"/>
      <c r="J26" s="12"/>
      <c r="K26" s="12"/>
      <c r="L26" s="12"/>
      <c r="M26" s="12"/>
      <c r="N26" s="12"/>
      <c r="O26" s="12"/>
      <c r="P26" s="12"/>
    </row>
    <row r="27" spans="1:16" x14ac:dyDescent="0.3">
      <c r="A27" s="12"/>
      <c r="B27" s="12"/>
      <c r="C27" s="12"/>
      <c r="D27" s="12"/>
      <c r="E27" s="12"/>
      <c r="F27" s="12"/>
      <c r="G27" s="12"/>
      <c r="H27" s="12"/>
      <c r="I27" s="6"/>
      <c r="J27" s="12"/>
      <c r="K27" s="12"/>
      <c r="L27" s="12"/>
      <c r="M27" s="12"/>
      <c r="N27" s="12"/>
      <c r="O27" s="12"/>
      <c r="P27" s="12"/>
    </row>
  </sheetData>
  <mergeCells count="1">
    <mergeCell ref="A3:G3"/>
  </mergeCells>
  <phoneticPr fontId="1" type="noConversion"/>
  <conditionalFormatting sqref="D6">
    <cfRule type="expression" dxfId="6" priority="9">
      <formula>IF($D$5=$O$1,1,0)</formula>
    </cfRule>
  </conditionalFormatting>
  <conditionalFormatting sqref="E6">
    <cfRule type="expression" dxfId="5" priority="10">
      <formula>IF($E$5=$O$1,1,0)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btn디데이보기">
          <controlPr defaultSize="0" autoLine="0" r:id="rId5">
            <anchor moveWithCells="1">
              <from>
                <xdr:col>6</xdr:col>
                <xdr:colOff>9525</xdr:colOff>
                <xdr:row>7</xdr:row>
                <xdr:rowOff>85725</xdr:rowOff>
              </from>
              <to>
                <xdr:col>7</xdr:col>
                <xdr:colOff>723900</xdr:colOff>
                <xdr:row>9</xdr:row>
                <xdr:rowOff>28575</xdr:rowOff>
              </to>
            </anchor>
          </controlPr>
        </control>
      </mc:Choice>
      <mc:Fallback>
        <control shapeId="1027" r:id="rId4" name="btn디데이보기"/>
      </mc:Fallback>
    </mc:AlternateContent>
    <mc:AlternateContent xmlns:mc="http://schemas.openxmlformats.org/markup-compatibility/2006">
      <mc:Choice Requires="x14">
        <control shapeId="1026" r:id="rId6" name="btn차트보기">
          <controlPr defaultSize="0" autoLine="0" r:id="rId7">
            <anchor moveWithCells="1">
              <from>
                <xdr:col>3</xdr:col>
                <xdr:colOff>466725</xdr:colOff>
                <xdr:row>7</xdr:row>
                <xdr:rowOff>95250</xdr:rowOff>
              </from>
              <to>
                <xdr:col>5</xdr:col>
                <xdr:colOff>371475</xdr:colOff>
                <xdr:row>9</xdr:row>
                <xdr:rowOff>38100</xdr:rowOff>
              </to>
            </anchor>
          </controlPr>
        </control>
      </mc:Choice>
      <mc:Fallback>
        <control shapeId="1026" r:id="rId6" name="btn차트보기"/>
      </mc:Fallback>
    </mc:AlternateContent>
    <mc:AlternateContent xmlns:mc="http://schemas.openxmlformats.org/markup-compatibility/2006">
      <mc:Choice Requires="x14">
        <control shapeId="1025" r:id="rId8" name="btn일정보기">
          <controlPr defaultSize="0" autoLine="0" r:id="rId9">
            <anchor moveWithCells="1">
              <from>
                <xdr:col>1</xdr:col>
                <xdr:colOff>66675</xdr:colOff>
                <xdr:row>7</xdr:row>
                <xdr:rowOff>95250</xdr:rowOff>
              </from>
              <to>
                <xdr:col>2</xdr:col>
                <xdr:colOff>781050</xdr:colOff>
                <xdr:row>9</xdr:row>
                <xdr:rowOff>38100</xdr:rowOff>
              </to>
            </anchor>
          </controlPr>
        </control>
      </mc:Choice>
      <mc:Fallback>
        <control shapeId="1025" r:id="rId8" name="btn일정보기"/>
      </mc:Fallback>
    </mc:AlternateContent>
    <mc:AlternateContent xmlns:mc="http://schemas.openxmlformats.org/markup-compatibility/2006">
      <mc:Choice Requires="x14">
        <control shapeId="1028" r:id="rId10" name="btn친구창">
          <controlPr defaultSize="0" autoLine="0" r:id="rId11">
            <anchor moveWithCells="1">
              <from>
                <xdr:col>9</xdr:col>
                <xdr:colOff>600075</xdr:colOff>
                <xdr:row>1</xdr:row>
                <xdr:rowOff>152400</xdr:rowOff>
              </from>
              <to>
                <xdr:col>9</xdr:col>
                <xdr:colOff>1524000</xdr:colOff>
                <xdr:row>2</xdr:row>
                <xdr:rowOff>295275</xdr:rowOff>
              </to>
            </anchor>
          </controlPr>
        </control>
      </mc:Choice>
      <mc:Fallback>
        <control shapeId="1028" r:id="rId10" name="btn친구창"/>
      </mc:Fallback>
    </mc:AlternateContent>
    <mc:AlternateContent xmlns:mc="http://schemas.openxmlformats.org/markup-compatibility/2006">
      <mc:Choice Requires="x14">
        <control shapeId="1030" r:id="rId12" name="btn로그인">
          <controlPr defaultSize="0" autoLine="0" r:id="rId13">
            <anchor moveWithCells="1">
              <from>
                <xdr:col>11</xdr:col>
                <xdr:colOff>38100</xdr:colOff>
                <xdr:row>1</xdr:row>
                <xdr:rowOff>152400</xdr:rowOff>
              </from>
              <to>
                <xdr:col>12</xdr:col>
                <xdr:colOff>276225</xdr:colOff>
                <xdr:row>2</xdr:row>
                <xdr:rowOff>295275</xdr:rowOff>
              </to>
            </anchor>
          </controlPr>
        </control>
      </mc:Choice>
      <mc:Fallback>
        <control shapeId="1030" r:id="rId12" name="btn로그인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106F31-E879-4D8A-8D27-87765BDE38DB}">
  <sheetPr codeName="Sheet2"/>
  <dimension ref="A1:K10"/>
  <sheetViews>
    <sheetView showGridLines="0" tabSelected="1" workbookViewId="0">
      <selection activeCell="N21" sqref="N21"/>
    </sheetView>
  </sheetViews>
  <sheetFormatPr defaultRowHeight="16.5" x14ac:dyDescent="0.3"/>
  <cols>
    <col min="1" max="4" width="9" style="1"/>
    <col min="5" max="5" width="11.125" style="1" bestFit="1" customWidth="1"/>
    <col min="6" max="6" width="9" style="1"/>
    <col min="7" max="7" width="9.125" customWidth="1"/>
    <col min="11" max="11" width="11.125" bestFit="1" customWidth="1"/>
  </cols>
  <sheetData>
    <row r="1" spans="1:11" x14ac:dyDescent="0.3">
      <c r="A1" s="2" t="s">
        <v>9</v>
      </c>
      <c r="B1" s="3" t="s">
        <v>10</v>
      </c>
      <c r="C1" s="3" t="s">
        <v>11</v>
      </c>
      <c r="D1" s="3" t="s">
        <v>12</v>
      </c>
      <c r="E1" s="3" t="s">
        <v>13</v>
      </c>
      <c r="F1" s="3" t="s">
        <v>14</v>
      </c>
      <c r="H1" s="3" t="s">
        <v>295</v>
      </c>
      <c r="I1" s="3" t="s">
        <v>299</v>
      </c>
      <c r="J1" s="3" t="s">
        <v>301</v>
      </c>
      <c r="K1" s="3" t="s">
        <v>302</v>
      </c>
    </row>
    <row r="2" spans="1:11" x14ac:dyDescent="0.3">
      <c r="A2" s="1">
        <v>1</v>
      </c>
      <c r="B2" s="1" t="s">
        <v>15</v>
      </c>
      <c r="C2" s="1" t="s">
        <v>16</v>
      </c>
      <c r="D2" s="1" t="s">
        <v>17</v>
      </c>
      <c r="E2" s="4">
        <v>23529</v>
      </c>
      <c r="F2" s="1">
        <v>3</v>
      </c>
      <c r="H2">
        <v>1</v>
      </c>
      <c r="I2" t="s">
        <v>15</v>
      </c>
      <c r="J2" t="s">
        <v>16</v>
      </c>
      <c r="K2" s="10">
        <v>23529</v>
      </c>
    </row>
    <row r="3" spans="1:11" x14ac:dyDescent="0.3">
      <c r="A3" s="1">
        <v>2</v>
      </c>
      <c r="B3" s="1" t="s">
        <v>18</v>
      </c>
      <c r="C3" s="1" t="s">
        <v>19</v>
      </c>
      <c r="D3" s="1" t="s">
        <v>19</v>
      </c>
      <c r="E3" s="4">
        <v>35326</v>
      </c>
      <c r="F3" s="1">
        <v>4</v>
      </c>
    </row>
    <row r="4" spans="1:11" x14ac:dyDescent="0.3">
      <c r="A4" s="1">
        <v>3</v>
      </c>
      <c r="B4" s="1" t="s">
        <v>20</v>
      </c>
      <c r="C4" s="1" t="s">
        <v>21</v>
      </c>
      <c r="D4" s="1" t="s">
        <v>22</v>
      </c>
      <c r="E4" s="4">
        <v>23537</v>
      </c>
      <c r="F4" s="1">
        <v>3</v>
      </c>
    </row>
    <row r="5" spans="1:11" x14ac:dyDescent="0.3">
      <c r="A5" s="1">
        <v>4</v>
      </c>
      <c r="B5" s="1" t="s">
        <v>23</v>
      </c>
      <c r="C5" s="1" t="s">
        <v>24</v>
      </c>
      <c r="D5" s="1" t="s">
        <v>25</v>
      </c>
      <c r="E5" s="4">
        <v>33707</v>
      </c>
      <c r="F5" s="1">
        <v>6</v>
      </c>
    </row>
    <row r="6" spans="1:11" x14ac:dyDescent="0.3">
      <c r="A6" s="1">
        <v>5</v>
      </c>
      <c r="B6" s="1" t="s">
        <v>26</v>
      </c>
      <c r="C6" s="1" t="s">
        <v>27</v>
      </c>
      <c r="D6" s="1" t="s">
        <v>28</v>
      </c>
      <c r="E6" s="4">
        <v>32695</v>
      </c>
      <c r="F6" s="1">
        <v>3</v>
      </c>
    </row>
    <row r="7" spans="1:11" x14ac:dyDescent="0.3">
      <c r="A7" s="1">
        <v>6</v>
      </c>
      <c r="B7" s="1" t="s">
        <v>29</v>
      </c>
      <c r="C7" s="1" t="s">
        <v>30</v>
      </c>
      <c r="D7" s="1" t="s">
        <v>31</v>
      </c>
      <c r="E7" s="4">
        <v>25774</v>
      </c>
      <c r="F7" s="1">
        <v>7</v>
      </c>
    </row>
    <row r="8" spans="1:11" x14ac:dyDescent="0.3">
      <c r="A8" s="1">
        <v>7</v>
      </c>
      <c r="B8" s="1" t="s">
        <v>32</v>
      </c>
      <c r="C8" s="1" t="s">
        <v>33</v>
      </c>
      <c r="D8" s="1" t="s">
        <v>34</v>
      </c>
      <c r="E8" s="4">
        <v>22025</v>
      </c>
      <c r="F8" s="1">
        <v>5</v>
      </c>
    </row>
    <row r="9" spans="1:11" x14ac:dyDescent="0.3">
      <c r="A9" s="1">
        <v>8</v>
      </c>
      <c r="B9" s="1" t="s">
        <v>35</v>
      </c>
      <c r="C9" s="1" t="s">
        <v>36</v>
      </c>
      <c r="D9" s="1" t="s">
        <v>37</v>
      </c>
      <c r="E9" s="4">
        <v>35574</v>
      </c>
      <c r="F9" s="1">
        <v>6</v>
      </c>
    </row>
    <row r="10" spans="1:11" x14ac:dyDescent="0.3">
      <c r="A10" s="1">
        <v>9</v>
      </c>
      <c r="B10" s="1" t="s">
        <v>38</v>
      </c>
      <c r="C10" s="1" t="s">
        <v>39</v>
      </c>
      <c r="D10" s="1" t="s">
        <v>40</v>
      </c>
      <c r="E10" s="4">
        <v>30523</v>
      </c>
      <c r="F10" s="1">
        <v>3</v>
      </c>
    </row>
  </sheetData>
  <phoneticPr fontId="1" type="noConversion"/>
  <conditionalFormatting sqref="A2:F1048576">
    <cfRule type="expression" dxfId="4" priority="1">
      <formula>A2&lt;&gt;""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C78135-672C-4996-9BA6-38AAD345A473}">
  <sheetPr codeName="Sheet3"/>
  <dimension ref="A1:Y15"/>
  <sheetViews>
    <sheetView showGridLines="0" workbookViewId="0">
      <selection activeCell="L11" sqref="L11"/>
    </sheetView>
  </sheetViews>
  <sheetFormatPr defaultRowHeight="16.5" x14ac:dyDescent="0.3"/>
  <cols>
    <col min="1" max="4" width="9" style="1"/>
    <col min="5" max="5" width="9" style="11"/>
    <col min="6" max="6" width="9" style="11" customWidth="1"/>
    <col min="7" max="7" width="8.5" style="11" customWidth="1"/>
    <col min="8" max="11" width="9" style="11" customWidth="1"/>
    <col min="12" max="12" width="21.375" style="11" customWidth="1"/>
    <col min="13" max="14" width="9" style="11" customWidth="1"/>
    <col min="15" max="15" width="11.125" style="31" bestFit="1" customWidth="1"/>
    <col min="16" max="25" width="9" style="11" customWidth="1"/>
  </cols>
  <sheetData>
    <row r="1" spans="1:18" x14ac:dyDescent="0.3">
      <c r="A1" s="2" t="s">
        <v>9</v>
      </c>
      <c r="B1" s="3" t="s">
        <v>41</v>
      </c>
      <c r="C1" s="3" t="s">
        <v>42</v>
      </c>
      <c r="D1" s="3" t="s">
        <v>43</v>
      </c>
      <c r="G1" s="26"/>
      <c r="H1" s="26"/>
      <c r="O1" s="11"/>
    </row>
    <row r="2" spans="1:18" x14ac:dyDescent="0.3">
      <c r="A2" s="1">
        <v>1</v>
      </c>
      <c r="B2" s="1">
        <v>2</v>
      </c>
      <c r="C2" s="1">
        <v>1</v>
      </c>
      <c r="D2" s="1" t="s">
        <v>44</v>
      </c>
      <c r="F2" s="11" t="s">
        <v>298</v>
      </c>
      <c r="I2" s="27" t="s">
        <v>296</v>
      </c>
      <c r="J2" s="27" t="s">
        <v>297</v>
      </c>
      <c r="K2" s="27" t="s">
        <v>298</v>
      </c>
      <c r="L2" s="28"/>
      <c r="M2" s="29" t="s">
        <v>295</v>
      </c>
      <c r="N2" s="29" t="s">
        <v>299</v>
      </c>
      <c r="O2" s="29" t="s">
        <v>302</v>
      </c>
      <c r="P2" s="29" t="s">
        <v>304</v>
      </c>
      <c r="Q2" s="29" t="s">
        <v>297</v>
      </c>
      <c r="R2" s="29" t="s">
        <v>298</v>
      </c>
    </row>
    <row r="3" spans="1:18" x14ac:dyDescent="0.3">
      <c r="A3" s="1">
        <v>2</v>
      </c>
      <c r="B3" s="1">
        <v>3</v>
      </c>
      <c r="C3" s="1">
        <v>1</v>
      </c>
      <c r="D3" s="1" t="s">
        <v>44</v>
      </c>
      <c r="F3" s="11" t="str">
        <f>"수락"</f>
        <v>수락</v>
      </c>
      <c r="I3" s="1">
        <v>4</v>
      </c>
      <c r="J3" s="1">
        <v>1</v>
      </c>
      <c r="K3" s="1" t="s">
        <v>45</v>
      </c>
      <c r="L3" s="30"/>
      <c r="M3" s="11">
        <v>4</v>
      </c>
      <c r="N3" s="11" t="s">
        <v>23</v>
      </c>
      <c r="O3" s="31">
        <v>33707</v>
      </c>
      <c r="P3" s="11">
        <v>1</v>
      </c>
      <c r="Q3" s="11">
        <v>7</v>
      </c>
      <c r="R3" s="11" t="s">
        <v>303</v>
      </c>
    </row>
    <row r="4" spans="1:18" x14ac:dyDescent="0.3">
      <c r="A4" s="1">
        <v>3</v>
      </c>
      <c r="B4" s="1">
        <v>3</v>
      </c>
      <c r="C4" s="1">
        <v>1</v>
      </c>
      <c r="D4" s="1" t="s">
        <v>44</v>
      </c>
      <c r="F4" s="11" t="str">
        <f>"대기"</f>
        <v>대기</v>
      </c>
      <c r="I4" s="1">
        <v>5</v>
      </c>
      <c r="J4" s="1">
        <v>1</v>
      </c>
      <c r="K4" s="1" t="s">
        <v>45</v>
      </c>
      <c r="M4" s="11">
        <v>5</v>
      </c>
      <c r="N4" s="11" t="s">
        <v>26</v>
      </c>
      <c r="O4" s="31">
        <v>32695</v>
      </c>
      <c r="P4" s="11">
        <v>3</v>
      </c>
      <c r="Q4" s="11">
        <v>1</v>
      </c>
      <c r="R4" s="11" t="s">
        <v>303</v>
      </c>
    </row>
    <row r="5" spans="1:18" x14ac:dyDescent="0.3">
      <c r="A5" s="1">
        <v>4</v>
      </c>
      <c r="B5" s="1">
        <v>1</v>
      </c>
      <c r="C5" s="1">
        <v>3</v>
      </c>
      <c r="D5" s="1" t="s">
        <v>44</v>
      </c>
      <c r="I5" s="1">
        <v>1</v>
      </c>
      <c r="J5" s="1">
        <v>7</v>
      </c>
      <c r="K5" s="1" t="s">
        <v>46</v>
      </c>
      <c r="M5" s="11">
        <v>5</v>
      </c>
      <c r="N5" s="11" t="s">
        <v>26</v>
      </c>
      <c r="O5" s="31">
        <v>32695</v>
      </c>
      <c r="P5" s="11">
        <v>1</v>
      </c>
      <c r="Q5" s="11">
        <v>0</v>
      </c>
      <c r="R5" s="11" t="s">
        <v>303</v>
      </c>
    </row>
    <row r="6" spans="1:18" x14ac:dyDescent="0.3">
      <c r="A6" s="1">
        <v>5</v>
      </c>
      <c r="B6" s="1">
        <v>4</v>
      </c>
      <c r="C6" s="1">
        <v>1</v>
      </c>
      <c r="D6" s="1" t="s">
        <v>45</v>
      </c>
      <c r="I6" s="1">
        <v>3</v>
      </c>
      <c r="J6" s="1">
        <v>2</v>
      </c>
      <c r="K6" s="1" t="s">
        <v>45</v>
      </c>
      <c r="M6" s="11">
        <v>2</v>
      </c>
      <c r="N6" s="11" t="s">
        <v>18</v>
      </c>
      <c r="O6" s="31">
        <v>35326</v>
      </c>
      <c r="P6" s="11">
        <v>1</v>
      </c>
      <c r="Q6" s="11">
        <v>8</v>
      </c>
      <c r="R6" s="11" t="s">
        <v>303</v>
      </c>
    </row>
    <row r="7" spans="1:18" x14ac:dyDescent="0.3">
      <c r="A7" s="1">
        <v>6</v>
      </c>
      <c r="B7" s="1">
        <v>5</v>
      </c>
      <c r="C7" s="1">
        <v>1</v>
      </c>
      <c r="D7" s="1" t="s">
        <v>45</v>
      </c>
      <c r="I7" s="1">
        <v>3</v>
      </c>
      <c r="J7" s="1">
        <v>1</v>
      </c>
      <c r="K7" s="1" t="s">
        <v>46</v>
      </c>
      <c r="M7" s="11">
        <v>6</v>
      </c>
      <c r="N7" s="11" t="s">
        <v>29</v>
      </c>
      <c r="O7" s="31">
        <v>25774</v>
      </c>
      <c r="P7" s="11">
        <v>1</v>
      </c>
      <c r="Q7" s="11">
        <v>9</v>
      </c>
      <c r="R7" s="11" t="s">
        <v>303</v>
      </c>
    </row>
    <row r="8" spans="1:18" x14ac:dyDescent="0.3">
      <c r="A8" s="1">
        <v>7</v>
      </c>
      <c r="B8" s="1">
        <v>1</v>
      </c>
      <c r="C8" s="1">
        <v>7</v>
      </c>
      <c r="D8" s="1" t="s">
        <v>46</v>
      </c>
      <c r="I8" s="1">
        <v>2</v>
      </c>
      <c r="J8" s="1">
        <v>1</v>
      </c>
      <c r="K8" s="1" t="s">
        <v>45</v>
      </c>
    </row>
    <row r="9" spans="1:18" x14ac:dyDescent="0.3">
      <c r="A9" s="1">
        <v>8</v>
      </c>
      <c r="B9" s="1">
        <v>3</v>
      </c>
      <c r="C9" s="1">
        <v>2</v>
      </c>
      <c r="D9" s="1" t="s">
        <v>45</v>
      </c>
      <c r="I9" s="1">
        <v>1</v>
      </c>
      <c r="J9" s="1">
        <v>6</v>
      </c>
      <c r="K9" s="1" t="s">
        <v>45</v>
      </c>
    </row>
    <row r="10" spans="1:18" x14ac:dyDescent="0.3">
      <c r="A10" s="1">
        <v>9</v>
      </c>
      <c r="B10" s="1">
        <v>3</v>
      </c>
      <c r="C10" s="1">
        <v>1</v>
      </c>
      <c r="D10" s="1" t="s">
        <v>46</v>
      </c>
      <c r="I10" s="1">
        <v>1</v>
      </c>
      <c r="J10" s="1">
        <v>0</v>
      </c>
      <c r="K10" s="1" t="s">
        <v>46</v>
      </c>
    </row>
    <row r="11" spans="1:18" x14ac:dyDescent="0.3">
      <c r="A11" s="1">
        <v>10</v>
      </c>
      <c r="B11" s="1">
        <v>2</v>
      </c>
      <c r="C11" s="1">
        <v>1</v>
      </c>
      <c r="D11" s="1" t="s">
        <v>45</v>
      </c>
      <c r="I11" s="1">
        <v>1</v>
      </c>
      <c r="J11" s="1">
        <v>8</v>
      </c>
      <c r="K11" s="1" t="s">
        <v>46</v>
      </c>
    </row>
    <row r="12" spans="1:18" x14ac:dyDescent="0.3">
      <c r="A12" s="1">
        <v>11</v>
      </c>
      <c r="B12" s="1">
        <v>1</v>
      </c>
      <c r="C12" s="1">
        <v>6</v>
      </c>
      <c r="D12" s="1" t="s">
        <v>45</v>
      </c>
      <c r="I12" s="1">
        <v>1</v>
      </c>
      <c r="J12" s="1">
        <v>9</v>
      </c>
      <c r="K12" s="1" t="s">
        <v>46</v>
      </c>
    </row>
    <row r="13" spans="1:18" x14ac:dyDescent="0.3">
      <c r="A13" s="1">
        <v>12</v>
      </c>
      <c r="B13" s="1">
        <v>1</v>
      </c>
      <c r="C13" s="1">
        <v>0</v>
      </c>
      <c r="D13" s="1" t="s">
        <v>46</v>
      </c>
    </row>
    <row r="14" spans="1:18" x14ac:dyDescent="0.3">
      <c r="A14" s="1">
        <v>13</v>
      </c>
      <c r="B14" s="1">
        <v>1</v>
      </c>
      <c r="C14" s="1">
        <v>8</v>
      </c>
      <c r="D14" s="1" t="s">
        <v>46</v>
      </c>
    </row>
    <row r="15" spans="1:18" x14ac:dyDescent="0.3">
      <c r="A15" s="1">
        <v>14</v>
      </c>
      <c r="B15" s="1">
        <v>1</v>
      </c>
      <c r="C15" s="1">
        <v>9</v>
      </c>
      <c r="D15" s="1" t="s">
        <v>46</v>
      </c>
    </row>
  </sheetData>
  <phoneticPr fontId="1" type="noConversion"/>
  <conditionalFormatting sqref="A1:D1048576">
    <cfRule type="expression" dxfId="3" priority="1">
      <formula>A1&lt;&gt;""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CB160C-909D-497D-8A3D-E33EDA08B06C}">
  <sheetPr codeName="Sheet4"/>
  <dimension ref="A1:C15"/>
  <sheetViews>
    <sheetView showGridLines="0" workbookViewId="0">
      <selection activeCell="F10" sqref="F10"/>
    </sheetView>
  </sheetViews>
  <sheetFormatPr defaultRowHeight="16.5" x14ac:dyDescent="0.3"/>
  <cols>
    <col min="1" max="1" width="11" style="1" bestFit="1" customWidth="1"/>
    <col min="2" max="2" width="9.875" style="1" bestFit="1" customWidth="1"/>
    <col min="3" max="3" width="9" style="1"/>
  </cols>
  <sheetData>
    <row r="1" spans="1:3" x14ac:dyDescent="0.3">
      <c r="A1" s="2" t="s">
        <v>10</v>
      </c>
      <c r="B1" s="3" t="s">
        <v>47</v>
      </c>
      <c r="C1" s="3" t="s">
        <v>48</v>
      </c>
    </row>
    <row r="2" spans="1:3" x14ac:dyDescent="0.3">
      <c r="A2" s="1" t="s">
        <v>49</v>
      </c>
      <c r="B2" s="1" t="s">
        <v>50</v>
      </c>
      <c r="C2" s="1" t="s">
        <v>51</v>
      </c>
    </row>
    <row r="3" spans="1:3" x14ac:dyDescent="0.3">
      <c r="A3" s="1" t="s">
        <v>52</v>
      </c>
      <c r="B3" s="1" t="s">
        <v>53</v>
      </c>
      <c r="C3" s="1" t="s">
        <v>51</v>
      </c>
    </row>
    <row r="4" spans="1:3" x14ac:dyDescent="0.3">
      <c r="A4" s="1" t="s">
        <v>54</v>
      </c>
      <c r="B4" s="1" t="s">
        <v>55</v>
      </c>
      <c r="C4" s="1" t="s">
        <v>56</v>
      </c>
    </row>
    <row r="5" spans="1:3" x14ac:dyDescent="0.3">
      <c r="A5" s="1" t="s">
        <v>57</v>
      </c>
      <c r="B5" s="1" t="s">
        <v>58</v>
      </c>
      <c r="C5" s="1" t="s">
        <v>51</v>
      </c>
    </row>
    <row r="6" spans="1:3" x14ac:dyDescent="0.3">
      <c r="A6" s="1" t="s">
        <v>59</v>
      </c>
      <c r="B6" s="1" t="s">
        <v>60</v>
      </c>
      <c r="C6" s="1" t="s">
        <v>51</v>
      </c>
    </row>
    <row r="7" spans="1:3" x14ac:dyDescent="0.3">
      <c r="A7" s="1" t="s">
        <v>61</v>
      </c>
      <c r="B7" s="1" t="s">
        <v>62</v>
      </c>
      <c r="C7" s="1" t="s">
        <v>56</v>
      </c>
    </row>
    <row r="8" spans="1:3" x14ac:dyDescent="0.3">
      <c r="A8" s="1" t="s">
        <v>63</v>
      </c>
      <c r="B8" s="1" t="s">
        <v>64</v>
      </c>
      <c r="C8" s="1" t="s">
        <v>56</v>
      </c>
    </row>
    <row r="9" spans="1:3" x14ac:dyDescent="0.3">
      <c r="A9" s="1" t="s">
        <v>65</v>
      </c>
      <c r="B9" s="1" t="s">
        <v>66</v>
      </c>
      <c r="C9" s="1" t="s">
        <v>51</v>
      </c>
    </row>
    <row r="10" spans="1:3" x14ac:dyDescent="0.3">
      <c r="A10" s="1">
        <v>6.25</v>
      </c>
      <c r="B10" s="1" t="s">
        <v>67</v>
      </c>
      <c r="C10" s="1" t="s">
        <v>56</v>
      </c>
    </row>
    <row r="11" spans="1:3" x14ac:dyDescent="0.3">
      <c r="A11" s="1" t="s">
        <v>68</v>
      </c>
      <c r="B11" s="1" t="s">
        <v>69</v>
      </c>
      <c r="C11" s="1" t="s">
        <v>56</v>
      </c>
    </row>
    <row r="12" spans="1:3" x14ac:dyDescent="0.3">
      <c r="A12" s="1" t="s">
        <v>70</v>
      </c>
      <c r="B12" s="1" t="s">
        <v>71</v>
      </c>
      <c r="C12" s="1" t="s">
        <v>51</v>
      </c>
    </row>
    <row r="13" spans="1:3" x14ac:dyDescent="0.3">
      <c r="A13" s="1" t="s">
        <v>72</v>
      </c>
      <c r="B13" s="1" t="s">
        <v>73</v>
      </c>
      <c r="C13" s="1" t="s">
        <v>56</v>
      </c>
    </row>
    <row r="14" spans="1:3" x14ac:dyDescent="0.3">
      <c r="A14" s="1" t="s">
        <v>74</v>
      </c>
      <c r="B14" s="1" t="s">
        <v>75</v>
      </c>
      <c r="C14" s="1" t="s">
        <v>51</v>
      </c>
    </row>
    <row r="15" spans="1:3" x14ac:dyDescent="0.3">
      <c r="A15" s="1" t="s">
        <v>76</v>
      </c>
      <c r="B15" s="1" t="s">
        <v>77</v>
      </c>
      <c r="C15" s="1" t="s">
        <v>51</v>
      </c>
    </row>
  </sheetData>
  <phoneticPr fontId="1" type="noConversion"/>
  <conditionalFormatting sqref="A2:C1048576">
    <cfRule type="expression" dxfId="2" priority="1">
      <formula>A2&lt;&gt;""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893D31-E86A-417E-ADD2-32937FBF5D1E}">
  <sheetPr codeName="Sheet5"/>
  <dimension ref="A1:L67"/>
  <sheetViews>
    <sheetView showGridLines="0" topLeftCell="E1" workbookViewId="0">
      <selection activeCell="J26" sqref="J26"/>
    </sheetView>
  </sheetViews>
  <sheetFormatPr defaultRowHeight="16.5" x14ac:dyDescent="0.3"/>
  <cols>
    <col min="1" max="1" width="9" style="1"/>
    <col min="2" max="2" width="17" style="1" customWidth="1"/>
    <col min="3" max="4" width="11.125" style="1" bestFit="1" customWidth="1"/>
    <col min="5" max="7" width="9" style="1"/>
    <col min="8" max="8" width="9" style="1" customWidth="1"/>
    <col min="9" max="9" width="16.875" style="1" customWidth="1"/>
    <col min="10" max="10" width="23.5" style="1" bestFit="1" customWidth="1"/>
  </cols>
  <sheetData>
    <row r="1" spans="1:12" x14ac:dyDescent="0.3">
      <c r="A1" s="2" t="s">
        <v>9</v>
      </c>
      <c r="B1" s="3" t="s">
        <v>78</v>
      </c>
      <c r="C1" s="3" t="s">
        <v>79</v>
      </c>
      <c r="D1" s="3" t="s">
        <v>80</v>
      </c>
      <c r="E1" s="3" t="s">
        <v>81</v>
      </c>
      <c r="F1" s="3" t="s">
        <v>82</v>
      </c>
      <c r="G1" s="3" t="s">
        <v>83</v>
      </c>
      <c r="H1" s="3" t="s">
        <v>84</v>
      </c>
      <c r="I1" s="3" t="s">
        <v>85</v>
      </c>
      <c r="J1" s="3" t="s">
        <v>86</v>
      </c>
    </row>
    <row r="2" spans="1:12" x14ac:dyDescent="0.3">
      <c r="A2" s="1">
        <v>1</v>
      </c>
      <c r="B2" s="1" t="s">
        <v>87</v>
      </c>
      <c r="C2" s="4">
        <v>44077</v>
      </c>
      <c r="D2" s="4">
        <v>44077</v>
      </c>
      <c r="E2" s="1">
        <v>1</v>
      </c>
      <c r="F2" s="1" t="s">
        <v>88</v>
      </c>
      <c r="G2" s="1">
        <v>3</v>
      </c>
      <c r="I2" s="1" t="s">
        <v>89</v>
      </c>
      <c r="J2" s="1" t="s">
        <v>90</v>
      </c>
      <c r="L2" s="7" t="s">
        <v>300</v>
      </c>
    </row>
    <row r="3" spans="1:12" x14ac:dyDescent="0.3">
      <c r="A3" s="1">
        <v>2</v>
      </c>
      <c r="B3" s="1" t="s">
        <v>91</v>
      </c>
      <c r="C3" s="4">
        <v>44078</v>
      </c>
      <c r="D3" s="4">
        <v>44079</v>
      </c>
      <c r="E3" s="1">
        <v>2</v>
      </c>
      <c r="F3" s="1">
        <v>2</v>
      </c>
      <c r="I3" s="1" t="s">
        <v>91</v>
      </c>
      <c r="J3" s="1" t="s">
        <v>92</v>
      </c>
      <c r="L3" s="8" t="s">
        <v>290</v>
      </c>
    </row>
    <row r="4" spans="1:12" x14ac:dyDescent="0.3">
      <c r="A4" s="1">
        <v>3</v>
      </c>
      <c r="B4" s="1" t="s">
        <v>93</v>
      </c>
      <c r="C4" s="4">
        <v>44079</v>
      </c>
      <c r="D4" s="4">
        <v>44080</v>
      </c>
      <c r="E4" s="1">
        <v>4</v>
      </c>
      <c r="F4" s="1">
        <v>4</v>
      </c>
      <c r="G4" s="1">
        <v>3</v>
      </c>
      <c r="I4" s="1" t="s">
        <v>94</v>
      </c>
      <c r="J4" s="1" t="s">
        <v>95</v>
      </c>
      <c r="L4" s="8" t="s">
        <v>289</v>
      </c>
    </row>
    <row r="5" spans="1:12" x14ac:dyDescent="0.3">
      <c r="A5" s="1">
        <v>4</v>
      </c>
      <c r="B5" s="1" t="s">
        <v>96</v>
      </c>
      <c r="C5" s="4">
        <v>43943</v>
      </c>
      <c r="D5" s="4">
        <v>43943</v>
      </c>
      <c r="E5" s="1">
        <v>1</v>
      </c>
      <c r="F5" s="1">
        <v>1</v>
      </c>
      <c r="H5" s="1" t="s">
        <v>97</v>
      </c>
      <c r="I5" s="1" t="s">
        <v>98</v>
      </c>
      <c r="J5" s="1" t="s">
        <v>289</v>
      </c>
      <c r="L5" s="9" t="s">
        <v>291</v>
      </c>
    </row>
    <row r="6" spans="1:12" x14ac:dyDescent="0.3">
      <c r="A6" s="1">
        <v>5</v>
      </c>
      <c r="B6" s="1" t="s">
        <v>99</v>
      </c>
      <c r="C6" s="4">
        <v>43943</v>
      </c>
      <c r="D6" s="4">
        <v>43944</v>
      </c>
      <c r="E6" s="1">
        <v>1</v>
      </c>
      <c r="F6" s="1">
        <v>1</v>
      </c>
      <c r="I6" s="1" t="s">
        <v>100</v>
      </c>
      <c r="L6" s="8" t="s">
        <v>292</v>
      </c>
    </row>
    <row r="7" spans="1:12" x14ac:dyDescent="0.3">
      <c r="A7" s="1">
        <v>6</v>
      </c>
      <c r="B7" s="1" t="s">
        <v>101</v>
      </c>
      <c r="C7" s="4">
        <v>43943</v>
      </c>
      <c r="D7" s="4">
        <v>43945</v>
      </c>
      <c r="E7" s="1">
        <v>1</v>
      </c>
      <c r="F7" s="1">
        <v>1</v>
      </c>
      <c r="I7" s="1" t="s">
        <v>102</v>
      </c>
      <c r="J7" s="1" t="s">
        <v>103</v>
      </c>
      <c r="L7" s="8" t="s">
        <v>293</v>
      </c>
    </row>
    <row r="8" spans="1:12" x14ac:dyDescent="0.3">
      <c r="A8" s="1">
        <v>7</v>
      </c>
      <c r="B8" s="1" t="s">
        <v>104</v>
      </c>
      <c r="C8" s="4">
        <v>44095</v>
      </c>
      <c r="D8" s="4">
        <v>44095</v>
      </c>
      <c r="E8" s="1">
        <v>1</v>
      </c>
      <c r="F8" s="1" t="s">
        <v>88</v>
      </c>
      <c r="I8" s="1" t="s">
        <v>98</v>
      </c>
      <c r="J8" s="1" t="s">
        <v>105</v>
      </c>
      <c r="L8" s="8" t="s">
        <v>294</v>
      </c>
    </row>
    <row r="9" spans="1:12" x14ac:dyDescent="0.3">
      <c r="A9" s="1">
        <v>8</v>
      </c>
      <c r="B9" s="1" t="s">
        <v>106</v>
      </c>
      <c r="C9" s="4">
        <v>44104</v>
      </c>
      <c r="D9" s="4">
        <v>44104</v>
      </c>
      <c r="E9" s="1">
        <v>4</v>
      </c>
      <c r="F9" s="1" t="s">
        <v>107</v>
      </c>
      <c r="I9" s="1" t="s">
        <v>89</v>
      </c>
      <c r="J9" s="1" t="s">
        <v>108</v>
      </c>
    </row>
    <row r="10" spans="1:12" x14ac:dyDescent="0.3">
      <c r="A10" s="1">
        <v>9</v>
      </c>
      <c r="B10" s="1" t="s">
        <v>99</v>
      </c>
      <c r="C10" s="4">
        <v>44108</v>
      </c>
      <c r="D10" s="4">
        <v>44108</v>
      </c>
      <c r="E10" s="1">
        <v>1</v>
      </c>
      <c r="F10" s="1" t="s">
        <v>88</v>
      </c>
      <c r="I10" s="1" t="s">
        <v>89</v>
      </c>
      <c r="J10" s="1" t="s">
        <v>109</v>
      </c>
    </row>
    <row r="11" spans="1:12" x14ac:dyDescent="0.3">
      <c r="A11" s="1">
        <v>10</v>
      </c>
      <c r="B11" s="1" t="s">
        <v>110</v>
      </c>
      <c r="C11" s="4">
        <v>44129</v>
      </c>
      <c r="D11" s="4">
        <v>44132</v>
      </c>
      <c r="E11" s="1">
        <v>1</v>
      </c>
      <c r="F11" s="1" t="s">
        <v>111</v>
      </c>
      <c r="G11" s="1">
        <v>1</v>
      </c>
      <c r="I11" s="1" t="s">
        <v>89</v>
      </c>
      <c r="J11" s="1" t="s">
        <v>112</v>
      </c>
    </row>
    <row r="12" spans="1:12" x14ac:dyDescent="0.3">
      <c r="A12" s="1">
        <v>11</v>
      </c>
      <c r="B12" s="1" t="s">
        <v>113</v>
      </c>
      <c r="C12" s="4">
        <v>44134</v>
      </c>
      <c r="D12" s="4">
        <v>44138</v>
      </c>
      <c r="E12" s="1">
        <v>1</v>
      </c>
      <c r="F12" s="1">
        <v>1</v>
      </c>
      <c r="I12" s="1" t="s">
        <v>100</v>
      </c>
    </row>
    <row r="13" spans="1:12" x14ac:dyDescent="0.3">
      <c r="A13" s="1">
        <v>12</v>
      </c>
      <c r="B13" s="1" t="s">
        <v>114</v>
      </c>
      <c r="C13" s="4">
        <v>44154</v>
      </c>
      <c r="D13" s="4">
        <v>44154</v>
      </c>
      <c r="E13" s="1">
        <v>1</v>
      </c>
      <c r="F13" s="1" t="s">
        <v>115</v>
      </c>
      <c r="I13" s="1" t="s">
        <v>89</v>
      </c>
      <c r="J13" s="1" t="s">
        <v>116</v>
      </c>
    </row>
    <row r="14" spans="1:12" x14ac:dyDescent="0.3">
      <c r="A14" s="1">
        <v>13</v>
      </c>
      <c r="B14" s="1" t="s">
        <v>117</v>
      </c>
      <c r="C14" s="4">
        <v>44156</v>
      </c>
      <c r="D14" s="4">
        <v>44156</v>
      </c>
      <c r="E14" s="1">
        <v>1</v>
      </c>
      <c r="F14" s="1" t="s">
        <v>107</v>
      </c>
      <c r="I14" s="1" t="s">
        <v>91</v>
      </c>
      <c r="J14" s="1" t="s">
        <v>118</v>
      </c>
    </row>
    <row r="15" spans="1:12" x14ac:dyDescent="0.3">
      <c r="A15" s="1">
        <v>14</v>
      </c>
      <c r="B15" s="1" t="s">
        <v>101</v>
      </c>
      <c r="C15" s="4">
        <v>44159</v>
      </c>
      <c r="D15" s="4">
        <v>44159</v>
      </c>
      <c r="E15" s="1">
        <v>1</v>
      </c>
      <c r="F15" s="1">
        <v>1</v>
      </c>
      <c r="I15" s="1" t="s">
        <v>102</v>
      </c>
    </row>
    <row r="16" spans="1:12" x14ac:dyDescent="0.3">
      <c r="A16" s="1">
        <v>15</v>
      </c>
      <c r="B16" s="1" t="s">
        <v>119</v>
      </c>
      <c r="C16" s="4">
        <v>44165</v>
      </c>
      <c r="D16" s="4">
        <v>44165</v>
      </c>
      <c r="E16" s="1">
        <v>1</v>
      </c>
      <c r="F16" s="1" t="s">
        <v>120</v>
      </c>
      <c r="G16" s="1">
        <v>3</v>
      </c>
      <c r="I16" s="1" t="s">
        <v>89</v>
      </c>
      <c r="J16" s="1" t="s">
        <v>121</v>
      </c>
    </row>
    <row r="17" spans="1:10" x14ac:dyDescent="0.3">
      <c r="A17" s="1">
        <v>16</v>
      </c>
      <c r="B17" s="1" t="s">
        <v>91</v>
      </c>
      <c r="C17" s="4">
        <v>44159</v>
      </c>
      <c r="D17" s="4">
        <v>44159</v>
      </c>
      <c r="E17" s="1">
        <v>2</v>
      </c>
      <c r="F17" s="1">
        <v>2</v>
      </c>
      <c r="I17" s="1" t="s">
        <v>91</v>
      </c>
    </row>
    <row r="18" spans="1:10" x14ac:dyDescent="0.3">
      <c r="A18" s="1">
        <v>17</v>
      </c>
      <c r="B18" s="1" t="s">
        <v>104</v>
      </c>
      <c r="C18" s="4">
        <v>44165</v>
      </c>
      <c r="D18" s="4">
        <v>44165</v>
      </c>
      <c r="E18" s="1">
        <v>3</v>
      </c>
      <c r="F18" s="1">
        <v>3</v>
      </c>
      <c r="I18" s="1" t="s">
        <v>98</v>
      </c>
    </row>
    <row r="19" spans="1:10" x14ac:dyDescent="0.3">
      <c r="A19" s="1">
        <v>18</v>
      </c>
      <c r="B19" s="1" t="s">
        <v>93</v>
      </c>
      <c r="C19" s="4">
        <v>44058</v>
      </c>
      <c r="D19" s="4">
        <v>44061</v>
      </c>
      <c r="E19" s="1">
        <v>2</v>
      </c>
      <c r="F19" s="1" t="s">
        <v>97</v>
      </c>
      <c r="H19" s="1">
        <v>1</v>
      </c>
      <c r="I19" s="1" t="s">
        <v>94</v>
      </c>
    </row>
    <row r="20" spans="1:10" x14ac:dyDescent="0.3">
      <c r="A20" s="1">
        <v>19</v>
      </c>
      <c r="B20" s="1" t="s">
        <v>96</v>
      </c>
      <c r="C20" s="4">
        <v>44063</v>
      </c>
      <c r="D20" s="4">
        <v>44067</v>
      </c>
      <c r="E20" s="1">
        <v>1</v>
      </c>
      <c r="F20" s="1">
        <v>1</v>
      </c>
      <c r="G20" s="1">
        <v>2</v>
      </c>
      <c r="I20" s="1" t="s">
        <v>98</v>
      </c>
    </row>
    <row r="21" spans="1:10" x14ac:dyDescent="0.3">
      <c r="A21" s="1">
        <v>20</v>
      </c>
      <c r="B21" s="1" t="s">
        <v>122</v>
      </c>
      <c r="C21" s="4">
        <v>44063</v>
      </c>
      <c r="D21" s="4">
        <v>44068</v>
      </c>
      <c r="E21" s="1">
        <v>3</v>
      </c>
      <c r="F21" s="1" t="s">
        <v>123</v>
      </c>
      <c r="I21" s="1" t="s">
        <v>91</v>
      </c>
    </row>
    <row r="22" spans="1:10" x14ac:dyDescent="0.3">
      <c r="A22" s="1">
        <v>21</v>
      </c>
      <c r="B22" s="1" t="s">
        <v>93</v>
      </c>
      <c r="C22" s="4">
        <v>44071</v>
      </c>
      <c r="D22" s="4">
        <v>44075</v>
      </c>
      <c r="E22" s="1">
        <v>1</v>
      </c>
      <c r="F22" s="1">
        <v>1</v>
      </c>
      <c r="I22" s="1" t="s">
        <v>94</v>
      </c>
      <c r="J22" s="1" t="s">
        <v>124</v>
      </c>
    </row>
    <row r="23" spans="1:10" x14ac:dyDescent="0.3">
      <c r="A23" s="1">
        <v>22</v>
      </c>
      <c r="B23" s="1" t="s">
        <v>99</v>
      </c>
      <c r="C23" s="4">
        <v>44074</v>
      </c>
      <c r="D23" s="4">
        <v>44077</v>
      </c>
      <c r="E23" s="1">
        <v>2</v>
      </c>
      <c r="F23" s="1">
        <v>2</v>
      </c>
      <c r="G23" s="1">
        <v>3</v>
      </c>
      <c r="I23" s="1" t="s">
        <v>100</v>
      </c>
    </row>
    <row r="24" spans="1:10" x14ac:dyDescent="0.3">
      <c r="A24" s="1">
        <v>23</v>
      </c>
      <c r="B24" s="1" t="s">
        <v>125</v>
      </c>
      <c r="C24" s="4">
        <v>44077</v>
      </c>
      <c r="D24" s="4">
        <v>44078</v>
      </c>
      <c r="E24" s="1">
        <v>2</v>
      </c>
      <c r="F24" s="1" t="s">
        <v>88</v>
      </c>
      <c r="H24" s="1">
        <v>3</v>
      </c>
      <c r="I24" s="1" t="s">
        <v>102</v>
      </c>
    </row>
    <row r="25" spans="1:10" x14ac:dyDescent="0.3">
      <c r="A25" s="1">
        <v>24</v>
      </c>
      <c r="B25" s="1" t="s">
        <v>126</v>
      </c>
      <c r="C25" s="4">
        <v>44080</v>
      </c>
      <c r="D25" s="4">
        <v>44080</v>
      </c>
      <c r="E25" s="1">
        <v>3</v>
      </c>
      <c r="F25" s="1">
        <v>3</v>
      </c>
      <c r="G25" s="1">
        <v>1</v>
      </c>
      <c r="I25" s="1" t="s">
        <v>98</v>
      </c>
      <c r="J25" s="1" t="s">
        <v>127</v>
      </c>
    </row>
    <row r="26" spans="1:10" x14ac:dyDescent="0.3">
      <c r="A26" s="1">
        <v>25</v>
      </c>
      <c r="B26" s="1" t="s">
        <v>128</v>
      </c>
      <c r="C26" s="4">
        <v>44079</v>
      </c>
      <c r="D26" s="4">
        <v>44079</v>
      </c>
      <c r="E26" s="1">
        <v>3</v>
      </c>
      <c r="F26" s="1">
        <v>3</v>
      </c>
      <c r="G26" s="1">
        <v>2</v>
      </c>
      <c r="I26" s="1" t="s">
        <v>91</v>
      </c>
    </row>
    <row r="27" spans="1:10" x14ac:dyDescent="0.3">
      <c r="A27" s="1">
        <v>26</v>
      </c>
      <c r="B27" s="1" t="s">
        <v>101</v>
      </c>
      <c r="C27" s="4">
        <v>44081</v>
      </c>
      <c r="D27" s="4">
        <v>44082</v>
      </c>
      <c r="E27" s="1">
        <v>3</v>
      </c>
      <c r="F27" s="1">
        <v>3</v>
      </c>
      <c r="I27" s="1" t="s">
        <v>102</v>
      </c>
    </row>
    <row r="28" spans="1:10" x14ac:dyDescent="0.3">
      <c r="A28" s="1">
        <v>27</v>
      </c>
      <c r="B28" s="1" t="s">
        <v>96</v>
      </c>
      <c r="C28" s="4">
        <v>44125</v>
      </c>
      <c r="D28" s="4">
        <v>44129</v>
      </c>
      <c r="E28" s="1">
        <v>2</v>
      </c>
      <c r="F28" s="1">
        <v>2</v>
      </c>
      <c r="G28" s="1">
        <v>3</v>
      </c>
      <c r="I28" s="1" t="s">
        <v>98</v>
      </c>
    </row>
    <row r="29" spans="1:10" x14ac:dyDescent="0.3">
      <c r="A29" s="1">
        <v>28</v>
      </c>
      <c r="B29" s="1" t="s">
        <v>129</v>
      </c>
      <c r="C29" s="4">
        <v>44129</v>
      </c>
      <c r="D29" s="4">
        <v>44133</v>
      </c>
      <c r="E29" s="1">
        <v>4</v>
      </c>
      <c r="F29" s="1" t="s">
        <v>130</v>
      </c>
      <c r="H29" s="1">
        <v>3</v>
      </c>
      <c r="I29" s="1" t="s">
        <v>100</v>
      </c>
    </row>
    <row r="30" spans="1:10" x14ac:dyDescent="0.3">
      <c r="A30" s="1">
        <v>29</v>
      </c>
      <c r="B30" s="1" t="s">
        <v>93</v>
      </c>
      <c r="C30" s="4">
        <v>44134</v>
      </c>
      <c r="D30" s="4">
        <v>44135</v>
      </c>
      <c r="E30" s="1">
        <v>1</v>
      </c>
      <c r="F30" s="1">
        <v>1</v>
      </c>
      <c r="H30" s="1">
        <v>2</v>
      </c>
      <c r="I30" s="1" t="s">
        <v>94</v>
      </c>
    </row>
    <row r="31" spans="1:10" x14ac:dyDescent="0.3">
      <c r="A31" s="1">
        <v>30</v>
      </c>
      <c r="B31" s="1" t="s">
        <v>106</v>
      </c>
      <c r="C31" s="4">
        <v>44044</v>
      </c>
      <c r="D31" s="4">
        <v>44044</v>
      </c>
      <c r="E31" s="1">
        <v>2</v>
      </c>
      <c r="F31" s="1">
        <v>2</v>
      </c>
      <c r="I31" s="1" t="s">
        <v>100</v>
      </c>
      <c r="J31" s="1" t="s">
        <v>131</v>
      </c>
    </row>
    <row r="32" spans="1:10" x14ac:dyDescent="0.3">
      <c r="A32" s="1">
        <v>31</v>
      </c>
      <c r="B32" s="1" t="s">
        <v>132</v>
      </c>
      <c r="C32" s="4">
        <v>44045</v>
      </c>
      <c r="D32" s="4">
        <v>44045</v>
      </c>
      <c r="E32" s="1">
        <v>4</v>
      </c>
      <c r="F32" s="1">
        <v>4</v>
      </c>
      <c r="G32" s="1">
        <v>1</v>
      </c>
      <c r="H32" s="1">
        <v>3</v>
      </c>
      <c r="I32" s="1" t="s">
        <v>91</v>
      </c>
      <c r="J32" s="1" t="s">
        <v>133</v>
      </c>
    </row>
    <row r="33" spans="1:10" x14ac:dyDescent="0.3">
      <c r="A33" s="1">
        <v>32</v>
      </c>
      <c r="B33" s="1" t="s">
        <v>113</v>
      </c>
      <c r="C33" s="4">
        <v>44046</v>
      </c>
      <c r="D33" s="4">
        <v>44048</v>
      </c>
      <c r="E33" s="1">
        <v>4</v>
      </c>
      <c r="F33" s="1">
        <v>4</v>
      </c>
      <c r="I33" s="1" t="s">
        <v>100</v>
      </c>
      <c r="J33" s="1" t="s">
        <v>134</v>
      </c>
    </row>
    <row r="34" spans="1:10" x14ac:dyDescent="0.3">
      <c r="A34" s="1">
        <v>33</v>
      </c>
      <c r="B34" s="1" t="s">
        <v>135</v>
      </c>
      <c r="C34" s="4">
        <v>44052</v>
      </c>
      <c r="D34" s="4">
        <v>44052</v>
      </c>
      <c r="E34" s="1">
        <v>1</v>
      </c>
      <c r="F34" s="1">
        <v>1</v>
      </c>
      <c r="I34" s="1" t="s">
        <v>94</v>
      </c>
    </row>
    <row r="35" spans="1:10" x14ac:dyDescent="0.3">
      <c r="A35" s="1">
        <v>34</v>
      </c>
      <c r="B35" s="1" t="s">
        <v>136</v>
      </c>
      <c r="C35" s="4">
        <v>44055</v>
      </c>
      <c r="D35" s="4">
        <v>44055</v>
      </c>
      <c r="E35" s="1">
        <v>2</v>
      </c>
      <c r="F35" s="1">
        <v>2</v>
      </c>
      <c r="I35" s="1" t="s">
        <v>100</v>
      </c>
    </row>
    <row r="36" spans="1:10" x14ac:dyDescent="0.3">
      <c r="A36" s="1">
        <v>35</v>
      </c>
      <c r="B36" s="1" t="s">
        <v>137</v>
      </c>
      <c r="C36" s="4">
        <v>44081</v>
      </c>
      <c r="D36" s="4">
        <v>44081</v>
      </c>
      <c r="E36" s="1">
        <v>4</v>
      </c>
      <c r="F36" s="1">
        <v>4</v>
      </c>
      <c r="I36" s="1" t="s">
        <v>89</v>
      </c>
      <c r="J36" s="1" t="s">
        <v>137</v>
      </c>
    </row>
    <row r="37" spans="1:10" x14ac:dyDescent="0.3">
      <c r="A37" s="1">
        <v>36</v>
      </c>
      <c r="B37" s="1" t="s">
        <v>138</v>
      </c>
      <c r="C37" s="4">
        <v>44095</v>
      </c>
      <c r="D37" s="4">
        <v>44095</v>
      </c>
      <c r="E37" s="1">
        <v>5</v>
      </c>
      <c r="F37" s="1">
        <v>5</v>
      </c>
      <c r="G37" s="1">
        <v>2</v>
      </c>
      <c r="H37" s="1">
        <v>1</v>
      </c>
      <c r="I37" s="1" t="s">
        <v>89</v>
      </c>
      <c r="J37" s="1" t="s">
        <v>139</v>
      </c>
    </row>
    <row r="38" spans="1:10" x14ac:dyDescent="0.3">
      <c r="A38" s="1">
        <v>37</v>
      </c>
      <c r="B38" s="1" t="s">
        <v>140</v>
      </c>
      <c r="C38" s="4">
        <v>44097</v>
      </c>
      <c r="D38" s="4">
        <v>44097</v>
      </c>
      <c r="E38" s="1">
        <v>2</v>
      </c>
      <c r="F38" s="1">
        <v>2</v>
      </c>
      <c r="I38" s="1" t="s">
        <v>100</v>
      </c>
      <c r="J38" s="1" t="s">
        <v>141</v>
      </c>
    </row>
    <row r="39" spans="1:10" x14ac:dyDescent="0.3">
      <c r="A39" s="1">
        <v>38</v>
      </c>
      <c r="B39" s="1" t="s">
        <v>142</v>
      </c>
      <c r="C39" s="4">
        <v>44106</v>
      </c>
      <c r="D39" s="4">
        <v>44106</v>
      </c>
      <c r="E39" s="1">
        <v>1</v>
      </c>
      <c r="F39" s="1">
        <v>1</v>
      </c>
      <c r="I39" s="1" t="s">
        <v>100</v>
      </c>
      <c r="J39" s="1" t="s">
        <v>143</v>
      </c>
    </row>
    <row r="40" spans="1:10" x14ac:dyDescent="0.3">
      <c r="A40" s="1">
        <v>39</v>
      </c>
      <c r="B40" s="1" t="s">
        <v>144</v>
      </c>
      <c r="C40" s="4">
        <v>44109</v>
      </c>
      <c r="D40" s="4">
        <v>44109</v>
      </c>
      <c r="E40" s="1">
        <v>1</v>
      </c>
      <c r="F40" s="1">
        <v>1</v>
      </c>
      <c r="I40" s="1" t="s">
        <v>102</v>
      </c>
    </row>
    <row r="41" spans="1:10" x14ac:dyDescent="0.3">
      <c r="A41" s="1">
        <v>40</v>
      </c>
      <c r="B41" s="1" t="s">
        <v>145</v>
      </c>
      <c r="C41" s="4">
        <v>44121</v>
      </c>
      <c r="D41" s="4">
        <v>44121</v>
      </c>
      <c r="E41" s="1">
        <v>4</v>
      </c>
      <c r="F41" s="1">
        <v>4</v>
      </c>
      <c r="I41" s="1" t="s">
        <v>89</v>
      </c>
    </row>
    <row r="42" spans="1:10" x14ac:dyDescent="0.3">
      <c r="A42" s="1">
        <v>41</v>
      </c>
      <c r="B42" s="1" t="s">
        <v>146</v>
      </c>
      <c r="C42" s="4">
        <v>44140</v>
      </c>
      <c r="D42" s="4">
        <v>44140</v>
      </c>
      <c r="E42" s="1">
        <v>3</v>
      </c>
      <c r="F42" s="1">
        <v>3</v>
      </c>
      <c r="I42" s="1" t="s">
        <v>98</v>
      </c>
      <c r="J42" s="1" t="s">
        <v>147</v>
      </c>
    </row>
    <row r="43" spans="1:10" x14ac:dyDescent="0.3">
      <c r="A43" s="1">
        <v>42</v>
      </c>
      <c r="B43" s="1" t="s">
        <v>148</v>
      </c>
      <c r="C43" s="4">
        <v>44053</v>
      </c>
      <c r="D43" s="4">
        <v>44057</v>
      </c>
      <c r="E43" s="1">
        <v>1</v>
      </c>
      <c r="F43" s="1" t="s">
        <v>149</v>
      </c>
      <c r="G43" s="1">
        <v>2</v>
      </c>
      <c r="I43" s="1" t="s">
        <v>91</v>
      </c>
      <c r="J43" s="1" t="s">
        <v>150</v>
      </c>
    </row>
    <row r="44" spans="1:10" x14ac:dyDescent="0.3">
      <c r="A44" s="1">
        <v>43</v>
      </c>
      <c r="B44" s="1" t="s">
        <v>151</v>
      </c>
      <c r="C44" s="4">
        <v>44067</v>
      </c>
      <c r="D44" s="4">
        <v>44067</v>
      </c>
      <c r="E44" s="1">
        <v>4</v>
      </c>
      <c r="F44" s="1">
        <v>4</v>
      </c>
      <c r="H44" s="1" t="s">
        <v>88</v>
      </c>
      <c r="I44" s="1" t="s">
        <v>94</v>
      </c>
      <c r="J44" s="1" t="s">
        <v>152</v>
      </c>
    </row>
    <row r="45" spans="1:10" x14ac:dyDescent="0.3">
      <c r="A45" s="1">
        <v>44</v>
      </c>
      <c r="B45" s="1" t="s">
        <v>153</v>
      </c>
      <c r="C45" s="4">
        <v>44083</v>
      </c>
      <c r="D45" s="4">
        <v>44087</v>
      </c>
      <c r="E45" s="1">
        <v>1</v>
      </c>
      <c r="F45" s="1" t="s">
        <v>154</v>
      </c>
      <c r="I45" s="1" t="s">
        <v>98</v>
      </c>
      <c r="J45" s="1" t="s">
        <v>155</v>
      </c>
    </row>
    <row r="46" spans="1:10" x14ac:dyDescent="0.3">
      <c r="A46" s="1">
        <v>45</v>
      </c>
      <c r="B46" s="1" t="s">
        <v>156</v>
      </c>
      <c r="C46" s="4">
        <v>44123</v>
      </c>
      <c r="D46" s="4">
        <v>44124</v>
      </c>
      <c r="E46" s="1">
        <v>2</v>
      </c>
      <c r="F46" s="1" t="s">
        <v>97</v>
      </c>
      <c r="G46" s="1">
        <v>1</v>
      </c>
      <c r="I46" s="1" t="s">
        <v>98</v>
      </c>
    </row>
    <row r="47" spans="1:10" x14ac:dyDescent="0.3">
      <c r="A47" s="1">
        <v>46</v>
      </c>
      <c r="B47" s="1" t="s">
        <v>101</v>
      </c>
      <c r="C47" s="4">
        <v>44104</v>
      </c>
      <c r="D47" s="4">
        <v>44107</v>
      </c>
      <c r="E47" s="1">
        <v>3</v>
      </c>
      <c r="F47" s="1" t="s">
        <v>97</v>
      </c>
      <c r="G47" s="1" t="s">
        <v>157</v>
      </c>
      <c r="I47" s="1" t="s">
        <v>102</v>
      </c>
    </row>
    <row r="48" spans="1:10" x14ac:dyDescent="0.3">
      <c r="A48" s="1">
        <v>47</v>
      </c>
      <c r="B48" s="1" t="s">
        <v>158</v>
      </c>
      <c r="C48" s="4">
        <v>44147</v>
      </c>
      <c r="D48" s="4">
        <v>44150</v>
      </c>
      <c r="E48" s="1">
        <v>5</v>
      </c>
      <c r="F48" s="1">
        <v>5</v>
      </c>
      <c r="I48" s="1" t="s">
        <v>89</v>
      </c>
    </row>
    <row r="49" spans="1:10" x14ac:dyDescent="0.3">
      <c r="A49" s="1">
        <v>48</v>
      </c>
      <c r="B49" s="1" t="s">
        <v>159</v>
      </c>
      <c r="C49" s="4">
        <v>44062</v>
      </c>
      <c r="D49" s="4">
        <v>44062</v>
      </c>
      <c r="E49" s="1">
        <v>6</v>
      </c>
      <c r="F49" s="1" t="s">
        <v>160</v>
      </c>
      <c r="H49" s="1">
        <v>4</v>
      </c>
      <c r="I49" s="1" t="s">
        <v>89</v>
      </c>
    </row>
    <row r="50" spans="1:10" x14ac:dyDescent="0.3">
      <c r="A50" s="1">
        <v>49</v>
      </c>
      <c r="B50" s="1" t="s">
        <v>161</v>
      </c>
      <c r="C50" s="4">
        <v>44075</v>
      </c>
      <c r="D50" s="4">
        <v>44077</v>
      </c>
      <c r="E50" s="1">
        <v>3</v>
      </c>
      <c r="F50" s="1" t="s">
        <v>111</v>
      </c>
      <c r="G50" s="1">
        <v>5</v>
      </c>
      <c r="I50" s="1" t="s">
        <v>94</v>
      </c>
    </row>
    <row r="51" spans="1:10" x14ac:dyDescent="0.3">
      <c r="A51" s="1">
        <v>50</v>
      </c>
      <c r="B51" s="1" t="s">
        <v>162</v>
      </c>
      <c r="C51" s="4">
        <v>44127</v>
      </c>
      <c r="D51" s="4">
        <v>44130</v>
      </c>
      <c r="E51" s="1">
        <v>1</v>
      </c>
      <c r="F51" s="1" t="s">
        <v>163</v>
      </c>
      <c r="H51" s="1">
        <v>2</v>
      </c>
      <c r="I51" s="1" t="s">
        <v>100</v>
      </c>
    </row>
    <row r="52" spans="1:10" x14ac:dyDescent="0.3">
      <c r="A52" s="1">
        <v>51</v>
      </c>
      <c r="B52" s="1" t="s">
        <v>164</v>
      </c>
      <c r="C52" s="4">
        <v>44081</v>
      </c>
      <c r="D52" s="4">
        <v>44081</v>
      </c>
      <c r="E52" s="1">
        <v>7</v>
      </c>
      <c r="F52" s="1" t="s">
        <v>165</v>
      </c>
      <c r="G52" s="1">
        <v>3</v>
      </c>
      <c r="I52" s="1" t="s">
        <v>89</v>
      </c>
    </row>
    <row r="53" spans="1:10" x14ac:dyDescent="0.3">
      <c r="A53" s="1">
        <v>52</v>
      </c>
      <c r="B53" s="1" t="s">
        <v>166</v>
      </c>
      <c r="C53" s="4">
        <v>44131</v>
      </c>
      <c r="D53" s="4">
        <v>44131</v>
      </c>
      <c r="E53" s="1">
        <v>4</v>
      </c>
      <c r="F53" s="1">
        <v>4</v>
      </c>
      <c r="I53" s="1" t="s">
        <v>100</v>
      </c>
    </row>
    <row r="54" spans="1:10" x14ac:dyDescent="0.3">
      <c r="A54" s="1">
        <v>53</v>
      </c>
      <c r="B54" s="1" t="s">
        <v>167</v>
      </c>
      <c r="C54" s="4">
        <v>44119</v>
      </c>
      <c r="D54" s="4">
        <v>44121</v>
      </c>
      <c r="E54" s="1">
        <v>5</v>
      </c>
      <c r="F54" s="1" t="s">
        <v>157</v>
      </c>
      <c r="G54" s="1">
        <v>1</v>
      </c>
      <c r="H54" s="1">
        <v>2</v>
      </c>
      <c r="I54" s="1" t="s">
        <v>94</v>
      </c>
      <c r="J54" s="1" t="s">
        <v>168</v>
      </c>
    </row>
    <row r="55" spans="1:10" x14ac:dyDescent="0.3">
      <c r="A55" s="1">
        <v>54</v>
      </c>
      <c r="B55" s="1" t="s">
        <v>169</v>
      </c>
      <c r="C55" s="4">
        <v>44151</v>
      </c>
      <c r="D55" s="4">
        <v>44151</v>
      </c>
      <c r="E55" s="1">
        <v>6</v>
      </c>
      <c r="F55" s="1" t="s">
        <v>170</v>
      </c>
      <c r="H55" s="1" t="s">
        <v>171</v>
      </c>
      <c r="I55" s="1" t="s">
        <v>98</v>
      </c>
    </row>
    <row r="56" spans="1:10" x14ac:dyDescent="0.3">
      <c r="A56" s="1">
        <v>55</v>
      </c>
      <c r="B56" s="1" t="s">
        <v>172</v>
      </c>
      <c r="C56" s="4">
        <v>44089</v>
      </c>
      <c r="D56" s="4">
        <v>44094</v>
      </c>
      <c r="E56" s="1">
        <v>8</v>
      </c>
      <c r="F56" s="1" t="s">
        <v>173</v>
      </c>
      <c r="G56" s="1">
        <v>9</v>
      </c>
      <c r="I56" s="1" t="s">
        <v>89</v>
      </c>
      <c r="J56" s="1" t="s">
        <v>174</v>
      </c>
    </row>
    <row r="57" spans="1:10" x14ac:dyDescent="0.3">
      <c r="A57" s="1">
        <v>56</v>
      </c>
      <c r="B57" s="1" t="s">
        <v>99</v>
      </c>
      <c r="C57" s="4">
        <v>44158</v>
      </c>
      <c r="D57" s="4">
        <v>44158</v>
      </c>
      <c r="E57" s="1">
        <v>7</v>
      </c>
      <c r="F57" s="1">
        <v>7</v>
      </c>
      <c r="I57" s="1" t="s">
        <v>175</v>
      </c>
    </row>
    <row r="58" spans="1:10" x14ac:dyDescent="0.3">
      <c r="A58" s="1">
        <v>57</v>
      </c>
      <c r="B58" s="1" t="s">
        <v>176</v>
      </c>
      <c r="C58" s="4">
        <v>44079</v>
      </c>
      <c r="D58" s="4">
        <v>44079</v>
      </c>
      <c r="E58" s="1">
        <v>2</v>
      </c>
      <c r="F58" s="1" t="s">
        <v>177</v>
      </c>
      <c r="G58" s="1">
        <v>1</v>
      </c>
      <c r="I58" s="1" t="s">
        <v>89</v>
      </c>
    </row>
    <row r="59" spans="1:10" x14ac:dyDescent="0.3">
      <c r="A59" s="1">
        <v>58</v>
      </c>
      <c r="B59" s="1" t="s">
        <v>178</v>
      </c>
      <c r="C59" s="4">
        <v>44129</v>
      </c>
      <c r="D59" s="4">
        <v>44129</v>
      </c>
      <c r="E59" s="1">
        <v>2</v>
      </c>
      <c r="F59" s="1">
        <v>2</v>
      </c>
      <c r="I59" s="1" t="s">
        <v>94</v>
      </c>
    </row>
    <row r="60" spans="1:10" x14ac:dyDescent="0.3">
      <c r="A60" s="1">
        <v>59</v>
      </c>
      <c r="B60" s="1" t="s">
        <v>179</v>
      </c>
      <c r="C60" s="4">
        <v>44046</v>
      </c>
      <c r="D60" s="4">
        <v>44046</v>
      </c>
      <c r="E60" s="1">
        <v>9</v>
      </c>
      <c r="F60" s="1">
        <v>9</v>
      </c>
      <c r="I60" s="1" t="s">
        <v>98</v>
      </c>
    </row>
    <row r="61" spans="1:10" x14ac:dyDescent="0.3">
      <c r="A61" s="1">
        <v>60</v>
      </c>
      <c r="B61" s="1" t="s">
        <v>180</v>
      </c>
      <c r="C61" s="4">
        <v>44107</v>
      </c>
      <c r="D61" s="4">
        <v>44110</v>
      </c>
      <c r="E61" s="1">
        <v>9</v>
      </c>
      <c r="F61" s="1" t="s">
        <v>181</v>
      </c>
      <c r="I61" s="1" t="s">
        <v>94</v>
      </c>
      <c r="J61" s="1" t="s">
        <v>182</v>
      </c>
    </row>
    <row r="62" spans="1:10" x14ac:dyDescent="0.3">
      <c r="A62" s="1">
        <v>61</v>
      </c>
      <c r="B62" s="1" t="s">
        <v>183</v>
      </c>
      <c r="C62" s="4">
        <v>44132</v>
      </c>
      <c r="D62" s="4">
        <v>44132</v>
      </c>
      <c r="E62" s="1">
        <v>5</v>
      </c>
      <c r="F62" s="1">
        <v>5</v>
      </c>
      <c r="I62" s="1" t="s">
        <v>100</v>
      </c>
    </row>
    <row r="63" spans="1:10" x14ac:dyDescent="0.3">
      <c r="A63" s="1">
        <v>62</v>
      </c>
      <c r="B63" s="1" t="s">
        <v>101</v>
      </c>
      <c r="C63" s="4">
        <v>44102</v>
      </c>
      <c r="D63" s="4">
        <v>44102</v>
      </c>
      <c r="E63" s="1">
        <v>5</v>
      </c>
      <c r="F63" s="1" t="s">
        <v>184</v>
      </c>
      <c r="I63" s="1" t="s">
        <v>102</v>
      </c>
      <c r="J63" s="1" t="s">
        <v>185</v>
      </c>
    </row>
    <row r="64" spans="1:10" x14ac:dyDescent="0.3">
      <c r="A64" s="1">
        <v>63</v>
      </c>
      <c r="B64" s="1" t="s">
        <v>186</v>
      </c>
      <c r="C64" s="4">
        <v>44119</v>
      </c>
      <c r="D64" s="4">
        <v>44122</v>
      </c>
      <c r="E64" s="1">
        <v>6</v>
      </c>
      <c r="F64" s="1" t="s">
        <v>187</v>
      </c>
      <c r="H64" s="1">
        <v>3</v>
      </c>
      <c r="I64" s="1" t="s">
        <v>89</v>
      </c>
      <c r="J64" s="1" t="s">
        <v>188</v>
      </c>
    </row>
    <row r="65" spans="1:10" x14ac:dyDescent="0.3">
      <c r="A65" s="1">
        <v>64</v>
      </c>
      <c r="B65" s="1" t="s">
        <v>93</v>
      </c>
      <c r="C65" s="4">
        <v>44136</v>
      </c>
      <c r="D65" s="4">
        <v>44136</v>
      </c>
      <c r="E65" s="1">
        <v>7</v>
      </c>
      <c r="F65" s="1">
        <v>7</v>
      </c>
      <c r="I65" s="1" t="s">
        <v>100</v>
      </c>
    </row>
    <row r="66" spans="1:10" x14ac:dyDescent="0.3">
      <c r="A66" s="1">
        <v>65</v>
      </c>
      <c r="B66" s="1" t="s">
        <v>189</v>
      </c>
      <c r="C66" s="4">
        <v>44050</v>
      </c>
      <c r="D66" s="4">
        <v>44050</v>
      </c>
      <c r="E66" s="1">
        <v>8</v>
      </c>
      <c r="F66" s="1">
        <v>8</v>
      </c>
      <c r="I66" s="1" t="s">
        <v>89</v>
      </c>
    </row>
    <row r="67" spans="1:10" x14ac:dyDescent="0.3">
      <c r="A67" s="1">
        <v>66</v>
      </c>
      <c r="B67" s="1" t="s">
        <v>190</v>
      </c>
      <c r="C67" s="4">
        <v>44017</v>
      </c>
      <c r="D67" s="4">
        <v>44041</v>
      </c>
      <c r="E67" s="1">
        <v>7</v>
      </c>
      <c r="F67" s="1" t="s">
        <v>191</v>
      </c>
      <c r="H67" s="1">
        <v>2</v>
      </c>
      <c r="I67" s="1" t="s">
        <v>91</v>
      </c>
      <c r="J67" s="1" t="s">
        <v>192</v>
      </c>
    </row>
  </sheetData>
  <phoneticPr fontId="1" type="noConversion"/>
  <conditionalFormatting sqref="A2:J1048576">
    <cfRule type="expression" dxfId="1" priority="2">
      <formula>$A2&lt;&gt;""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772603-A9F8-4511-A4F5-4AB264F9E865}">
  <sheetPr codeName="Sheet6"/>
  <dimension ref="A1:E63"/>
  <sheetViews>
    <sheetView showGridLines="0" topLeftCell="A43" workbookViewId="0">
      <selection activeCell="H50" sqref="H50"/>
    </sheetView>
  </sheetViews>
  <sheetFormatPr defaultRowHeight="16.5" x14ac:dyDescent="0.3"/>
  <cols>
    <col min="1" max="2" width="9" style="1"/>
    <col min="3" max="3" width="11.125" style="1" bestFit="1" customWidth="1"/>
    <col min="4" max="4" width="13" style="1" bestFit="1" customWidth="1"/>
    <col min="5" max="5" width="29" style="1" bestFit="1" customWidth="1"/>
  </cols>
  <sheetData>
    <row r="1" spans="1:5" x14ac:dyDescent="0.3">
      <c r="A1" s="2" t="s">
        <v>9</v>
      </c>
      <c r="B1" s="3" t="s">
        <v>193</v>
      </c>
      <c r="C1" s="3" t="s">
        <v>194</v>
      </c>
      <c r="D1" s="3" t="s">
        <v>78</v>
      </c>
      <c r="E1" s="3" t="s">
        <v>86</v>
      </c>
    </row>
    <row r="2" spans="1:5" x14ac:dyDescent="0.3">
      <c r="A2" s="1">
        <v>1</v>
      </c>
      <c r="B2" s="1">
        <v>2</v>
      </c>
      <c r="C2" s="4">
        <v>44084</v>
      </c>
      <c r="D2" s="1" t="s">
        <v>195</v>
      </c>
      <c r="E2" s="1" t="s">
        <v>196</v>
      </c>
    </row>
    <row r="3" spans="1:5" x14ac:dyDescent="0.3">
      <c r="A3" s="1">
        <v>2</v>
      </c>
      <c r="B3" s="1">
        <v>3</v>
      </c>
      <c r="C3" s="4">
        <v>44085</v>
      </c>
      <c r="D3" s="1" t="s">
        <v>197</v>
      </c>
      <c r="E3" s="1" t="s">
        <v>198</v>
      </c>
    </row>
    <row r="4" spans="1:5" x14ac:dyDescent="0.3">
      <c r="A4" s="1">
        <v>3</v>
      </c>
      <c r="B4" s="1">
        <v>2</v>
      </c>
      <c r="C4" s="4">
        <v>44101</v>
      </c>
      <c r="D4" s="1" t="s">
        <v>91</v>
      </c>
      <c r="E4" s="1" t="s">
        <v>199</v>
      </c>
    </row>
    <row r="5" spans="1:5" x14ac:dyDescent="0.3">
      <c r="A5" s="1">
        <v>4</v>
      </c>
      <c r="B5" s="1">
        <v>3</v>
      </c>
      <c r="C5" s="4">
        <v>44103</v>
      </c>
      <c r="D5" s="1" t="s">
        <v>200</v>
      </c>
      <c r="E5" s="1" t="s">
        <v>201</v>
      </c>
    </row>
    <row r="6" spans="1:5" x14ac:dyDescent="0.3">
      <c r="A6" s="1">
        <v>5</v>
      </c>
      <c r="B6" s="1">
        <v>4</v>
      </c>
      <c r="C6" s="4">
        <v>44104</v>
      </c>
      <c r="D6" s="1" t="s">
        <v>91</v>
      </c>
      <c r="E6" s="1" t="s">
        <v>202</v>
      </c>
    </row>
    <row r="7" spans="1:5" x14ac:dyDescent="0.3">
      <c r="A7" s="1">
        <v>6</v>
      </c>
      <c r="B7" s="1">
        <v>2</v>
      </c>
      <c r="C7" s="4">
        <v>44106</v>
      </c>
      <c r="D7" s="1" t="s">
        <v>98</v>
      </c>
      <c r="E7" s="1" t="s">
        <v>203</v>
      </c>
    </row>
    <row r="8" spans="1:5" x14ac:dyDescent="0.3">
      <c r="A8" s="1">
        <v>7</v>
      </c>
      <c r="B8" s="1">
        <v>1</v>
      </c>
      <c r="C8" s="4">
        <v>44015</v>
      </c>
      <c r="D8" s="1" t="s">
        <v>98</v>
      </c>
      <c r="E8" s="1" t="s">
        <v>204</v>
      </c>
    </row>
    <row r="9" spans="1:5" x14ac:dyDescent="0.3">
      <c r="A9" s="1">
        <v>8</v>
      </c>
      <c r="B9" s="1">
        <v>1</v>
      </c>
      <c r="C9" s="4">
        <v>44120</v>
      </c>
      <c r="D9" s="1" t="s">
        <v>205</v>
      </c>
      <c r="E9" s="1" t="s">
        <v>206</v>
      </c>
    </row>
    <row r="10" spans="1:5" x14ac:dyDescent="0.3">
      <c r="A10" s="1">
        <v>9</v>
      </c>
      <c r="B10" s="1">
        <v>3</v>
      </c>
      <c r="C10" s="4">
        <v>44131</v>
      </c>
      <c r="D10" s="1" t="s">
        <v>207</v>
      </c>
      <c r="E10" s="1" t="s">
        <v>208</v>
      </c>
    </row>
    <row r="11" spans="1:5" x14ac:dyDescent="0.3">
      <c r="A11" s="1">
        <v>10</v>
      </c>
      <c r="B11" s="1">
        <v>4</v>
      </c>
      <c r="C11" s="4">
        <v>44134</v>
      </c>
      <c r="D11" s="1" t="s">
        <v>91</v>
      </c>
      <c r="E11" s="1" t="s">
        <v>209</v>
      </c>
    </row>
    <row r="12" spans="1:5" x14ac:dyDescent="0.3">
      <c r="A12" s="1">
        <v>11</v>
      </c>
      <c r="B12" s="1">
        <v>2</v>
      </c>
      <c r="C12" s="4">
        <v>44146</v>
      </c>
      <c r="D12" s="1" t="s">
        <v>210</v>
      </c>
      <c r="E12" s="1" t="s">
        <v>211</v>
      </c>
    </row>
    <row r="13" spans="1:5" x14ac:dyDescent="0.3">
      <c r="A13" s="1">
        <v>12</v>
      </c>
      <c r="B13" s="1">
        <v>3</v>
      </c>
      <c r="C13" s="4">
        <v>44163</v>
      </c>
      <c r="D13" s="1" t="s">
        <v>212</v>
      </c>
      <c r="E13" s="1" t="s">
        <v>213</v>
      </c>
    </row>
    <row r="14" spans="1:5" x14ac:dyDescent="0.3">
      <c r="A14" s="1">
        <v>13</v>
      </c>
      <c r="B14" s="1">
        <v>1</v>
      </c>
      <c r="C14" s="4">
        <v>44167</v>
      </c>
      <c r="D14" s="1" t="s">
        <v>214</v>
      </c>
      <c r="E14" s="1" t="s">
        <v>215</v>
      </c>
    </row>
    <row r="15" spans="1:5" x14ac:dyDescent="0.3">
      <c r="A15" s="1">
        <v>14</v>
      </c>
      <c r="B15" s="1">
        <v>4</v>
      </c>
      <c r="C15" s="4">
        <v>44196</v>
      </c>
      <c r="D15" s="1" t="s">
        <v>119</v>
      </c>
      <c r="E15" s="1" t="s">
        <v>216</v>
      </c>
    </row>
    <row r="16" spans="1:5" x14ac:dyDescent="0.3">
      <c r="A16" s="1">
        <v>15</v>
      </c>
      <c r="B16" s="1">
        <v>1</v>
      </c>
      <c r="C16" s="4">
        <v>44089</v>
      </c>
      <c r="D16" s="1" t="s">
        <v>207</v>
      </c>
      <c r="E16" s="1" t="s">
        <v>217</v>
      </c>
    </row>
    <row r="17" spans="1:5" x14ac:dyDescent="0.3">
      <c r="A17" s="1">
        <v>16</v>
      </c>
      <c r="B17" s="1">
        <v>1</v>
      </c>
      <c r="C17" s="4">
        <v>44093</v>
      </c>
      <c r="D17" s="1" t="s">
        <v>94</v>
      </c>
      <c r="E17" s="1" t="s">
        <v>218</v>
      </c>
    </row>
    <row r="18" spans="1:5" x14ac:dyDescent="0.3">
      <c r="A18" s="1">
        <v>17</v>
      </c>
      <c r="B18" s="1">
        <v>4</v>
      </c>
      <c r="C18" s="4">
        <v>44101</v>
      </c>
      <c r="D18" s="1" t="s">
        <v>219</v>
      </c>
      <c r="E18" s="1" t="s">
        <v>220</v>
      </c>
    </row>
    <row r="19" spans="1:5" x14ac:dyDescent="0.3">
      <c r="A19" s="1">
        <v>18</v>
      </c>
      <c r="B19" s="1">
        <v>2</v>
      </c>
      <c r="C19" s="4">
        <v>44107</v>
      </c>
      <c r="D19" s="1" t="s">
        <v>221</v>
      </c>
      <c r="E19" s="1" t="s">
        <v>222</v>
      </c>
    </row>
    <row r="20" spans="1:5" x14ac:dyDescent="0.3">
      <c r="A20" s="1">
        <v>19</v>
      </c>
      <c r="B20" s="1">
        <v>3</v>
      </c>
      <c r="C20" s="4">
        <v>44110</v>
      </c>
      <c r="D20" s="1" t="s">
        <v>223</v>
      </c>
      <c r="E20" s="1" t="s">
        <v>224</v>
      </c>
    </row>
    <row r="21" spans="1:5" x14ac:dyDescent="0.3">
      <c r="A21" s="1">
        <v>20</v>
      </c>
      <c r="B21" s="1">
        <v>4</v>
      </c>
      <c r="C21" s="4">
        <v>44116</v>
      </c>
      <c r="D21" s="1" t="s">
        <v>125</v>
      </c>
      <c r="E21" s="1" t="s">
        <v>225</v>
      </c>
    </row>
    <row r="22" spans="1:5" x14ac:dyDescent="0.3">
      <c r="A22" s="1">
        <v>21</v>
      </c>
      <c r="B22" s="1">
        <v>3</v>
      </c>
      <c r="C22" s="4">
        <v>44117</v>
      </c>
      <c r="D22" s="1" t="s">
        <v>226</v>
      </c>
      <c r="E22" s="1" t="s">
        <v>227</v>
      </c>
    </row>
    <row r="23" spans="1:5" x14ac:dyDescent="0.3">
      <c r="A23" s="1">
        <v>22</v>
      </c>
      <c r="B23" s="1">
        <v>2</v>
      </c>
      <c r="C23" s="4">
        <v>44120</v>
      </c>
      <c r="D23" s="1" t="s">
        <v>200</v>
      </c>
      <c r="E23" s="1" t="s">
        <v>228</v>
      </c>
    </row>
    <row r="24" spans="1:5" x14ac:dyDescent="0.3">
      <c r="A24" s="1">
        <v>23</v>
      </c>
      <c r="B24" s="1">
        <v>3</v>
      </c>
      <c r="C24" s="4">
        <v>44128</v>
      </c>
      <c r="D24" s="1" t="s">
        <v>94</v>
      </c>
      <c r="E24" s="1" t="s">
        <v>229</v>
      </c>
    </row>
    <row r="25" spans="1:5" x14ac:dyDescent="0.3">
      <c r="A25" s="1">
        <v>24</v>
      </c>
      <c r="B25" s="1">
        <v>4</v>
      </c>
      <c r="C25" s="4">
        <v>44144</v>
      </c>
      <c r="D25" s="1" t="s">
        <v>100</v>
      </c>
      <c r="E25" s="1" t="s">
        <v>230</v>
      </c>
    </row>
    <row r="26" spans="1:5" x14ac:dyDescent="0.3">
      <c r="A26" s="1">
        <v>25</v>
      </c>
      <c r="B26" s="1">
        <v>2</v>
      </c>
      <c r="C26" s="4">
        <v>44145</v>
      </c>
      <c r="D26" s="1" t="s">
        <v>214</v>
      </c>
      <c r="E26" s="1" t="s">
        <v>231</v>
      </c>
    </row>
    <row r="27" spans="1:5" x14ac:dyDescent="0.3">
      <c r="A27" s="1">
        <v>26</v>
      </c>
      <c r="B27" s="1">
        <v>1</v>
      </c>
      <c r="C27" s="4">
        <v>44146</v>
      </c>
      <c r="D27" s="1" t="s">
        <v>232</v>
      </c>
      <c r="E27" s="1" t="s">
        <v>233</v>
      </c>
    </row>
    <row r="28" spans="1:5" x14ac:dyDescent="0.3">
      <c r="A28" s="1">
        <v>27</v>
      </c>
      <c r="B28" s="1">
        <v>7</v>
      </c>
      <c r="C28" s="4">
        <v>44064</v>
      </c>
      <c r="D28" s="1" t="s">
        <v>234</v>
      </c>
      <c r="E28" s="1" t="s">
        <v>235</v>
      </c>
    </row>
    <row r="29" spans="1:5" x14ac:dyDescent="0.3">
      <c r="A29" s="1">
        <v>28</v>
      </c>
      <c r="B29" s="1">
        <v>5</v>
      </c>
      <c r="C29" s="4">
        <v>44095</v>
      </c>
      <c r="D29" s="1" t="s">
        <v>96</v>
      </c>
      <c r="E29" s="1" t="s">
        <v>236</v>
      </c>
    </row>
    <row r="30" spans="1:5" x14ac:dyDescent="0.3">
      <c r="A30" s="1">
        <v>29</v>
      </c>
      <c r="B30" s="1">
        <v>9</v>
      </c>
      <c r="C30" s="4">
        <v>44097</v>
      </c>
      <c r="D30" s="1" t="s">
        <v>91</v>
      </c>
      <c r="E30" s="1" t="s">
        <v>237</v>
      </c>
    </row>
    <row r="31" spans="1:5" x14ac:dyDescent="0.3">
      <c r="A31" s="1">
        <v>30</v>
      </c>
      <c r="B31" s="1">
        <v>2</v>
      </c>
      <c r="C31" s="4">
        <v>44111</v>
      </c>
      <c r="D31" s="1" t="s">
        <v>238</v>
      </c>
      <c r="E31" s="1" t="s">
        <v>239</v>
      </c>
    </row>
    <row r="32" spans="1:5" x14ac:dyDescent="0.3">
      <c r="A32" s="1">
        <v>31</v>
      </c>
      <c r="B32" s="1">
        <v>6</v>
      </c>
      <c r="C32" s="4">
        <v>44116</v>
      </c>
      <c r="D32" s="1" t="s">
        <v>240</v>
      </c>
      <c r="E32" s="1" t="s">
        <v>241</v>
      </c>
    </row>
    <row r="33" spans="1:5" x14ac:dyDescent="0.3">
      <c r="A33" s="1">
        <v>32</v>
      </c>
      <c r="B33" s="1">
        <v>4</v>
      </c>
      <c r="C33" s="4">
        <v>44127</v>
      </c>
      <c r="D33" s="1" t="s">
        <v>200</v>
      </c>
      <c r="E33" s="1" t="s">
        <v>242</v>
      </c>
    </row>
    <row r="34" spans="1:5" x14ac:dyDescent="0.3">
      <c r="A34" s="1">
        <v>33</v>
      </c>
      <c r="B34" s="1">
        <v>8</v>
      </c>
      <c r="C34" s="4">
        <v>44130</v>
      </c>
      <c r="D34" s="1" t="s">
        <v>243</v>
      </c>
      <c r="E34" s="1" t="s">
        <v>244</v>
      </c>
    </row>
    <row r="35" spans="1:5" x14ac:dyDescent="0.3">
      <c r="A35" s="1">
        <v>34</v>
      </c>
      <c r="B35" s="1">
        <v>1</v>
      </c>
      <c r="C35" s="4">
        <v>44138</v>
      </c>
      <c r="D35" s="1" t="s">
        <v>106</v>
      </c>
      <c r="E35" s="1" t="s">
        <v>245</v>
      </c>
    </row>
    <row r="36" spans="1:5" x14ac:dyDescent="0.3">
      <c r="A36" s="1">
        <v>35</v>
      </c>
      <c r="B36" s="1">
        <v>3</v>
      </c>
      <c r="C36" s="4">
        <v>44052</v>
      </c>
      <c r="D36" s="1" t="s">
        <v>135</v>
      </c>
      <c r="E36" s="1" t="s">
        <v>246</v>
      </c>
    </row>
    <row r="37" spans="1:5" x14ac:dyDescent="0.3">
      <c r="A37" s="1">
        <v>36</v>
      </c>
      <c r="B37" s="1">
        <v>2</v>
      </c>
      <c r="C37" s="4">
        <v>44101</v>
      </c>
      <c r="D37" s="1" t="s">
        <v>247</v>
      </c>
      <c r="E37" s="1" t="s">
        <v>248</v>
      </c>
    </row>
    <row r="38" spans="1:5" x14ac:dyDescent="0.3">
      <c r="A38" s="1">
        <v>37</v>
      </c>
      <c r="B38" s="1">
        <v>5</v>
      </c>
      <c r="C38" s="4">
        <v>44156</v>
      </c>
      <c r="D38" s="1" t="s">
        <v>249</v>
      </c>
      <c r="E38" s="1" t="s">
        <v>250</v>
      </c>
    </row>
    <row r="39" spans="1:5" x14ac:dyDescent="0.3">
      <c r="A39" s="1">
        <v>38</v>
      </c>
      <c r="B39" s="1">
        <v>7</v>
      </c>
      <c r="C39" s="4">
        <v>44164</v>
      </c>
      <c r="D39" s="1" t="s">
        <v>251</v>
      </c>
      <c r="E39" s="1" t="s">
        <v>252</v>
      </c>
    </row>
    <row r="40" spans="1:5" x14ac:dyDescent="0.3">
      <c r="A40" s="1">
        <v>39</v>
      </c>
      <c r="B40" s="1">
        <v>4</v>
      </c>
      <c r="C40" s="4">
        <v>44086</v>
      </c>
      <c r="D40" s="1" t="s">
        <v>106</v>
      </c>
      <c r="E40" s="1" t="s">
        <v>253</v>
      </c>
    </row>
    <row r="41" spans="1:5" x14ac:dyDescent="0.3">
      <c r="A41" s="1">
        <v>40</v>
      </c>
      <c r="B41" s="1">
        <v>5</v>
      </c>
      <c r="C41" s="4">
        <v>44087</v>
      </c>
      <c r="D41" s="1" t="s">
        <v>197</v>
      </c>
      <c r="E41" s="1" t="s">
        <v>254</v>
      </c>
    </row>
    <row r="42" spans="1:5" x14ac:dyDescent="0.3">
      <c r="A42" s="1">
        <v>41</v>
      </c>
      <c r="B42" s="1">
        <v>3</v>
      </c>
      <c r="C42" s="4">
        <v>44087</v>
      </c>
      <c r="D42" s="1" t="s">
        <v>255</v>
      </c>
      <c r="E42" s="1" t="s">
        <v>256</v>
      </c>
    </row>
    <row r="43" spans="1:5" x14ac:dyDescent="0.3">
      <c r="A43" s="1">
        <v>42</v>
      </c>
      <c r="B43" s="1">
        <v>4</v>
      </c>
      <c r="C43" s="4">
        <v>44089</v>
      </c>
      <c r="D43" s="1" t="s">
        <v>257</v>
      </c>
      <c r="E43" s="1" t="s">
        <v>196</v>
      </c>
    </row>
    <row r="44" spans="1:5" x14ac:dyDescent="0.3">
      <c r="A44" s="1">
        <v>43</v>
      </c>
      <c r="B44" s="1">
        <v>2</v>
      </c>
      <c r="C44" s="4">
        <v>44090</v>
      </c>
      <c r="D44" s="1" t="s">
        <v>258</v>
      </c>
      <c r="E44" s="1" t="s">
        <v>259</v>
      </c>
    </row>
    <row r="45" spans="1:5" x14ac:dyDescent="0.3">
      <c r="A45" s="1">
        <v>44</v>
      </c>
      <c r="B45" s="1">
        <v>3</v>
      </c>
      <c r="C45" s="4">
        <v>44091</v>
      </c>
      <c r="D45" s="1" t="s">
        <v>99</v>
      </c>
      <c r="E45" s="1" t="s">
        <v>260</v>
      </c>
    </row>
    <row r="46" spans="1:5" x14ac:dyDescent="0.3">
      <c r="A46" s="1">
        <v>45</v>
      </c>
      <c r="B46" s="1">
        <v>2</v>
      </c>
      <c r="C46" s="4">
        <v>44092</v>
      </c>
      <c r="D46" s="1" t="s">
        <v>261</v>
      </c>
      <c r="E46" s="1" t="s">
        <v>262</v>
      </c>
    </row>
    <row r="47" spans="1:5" x14ac:dyDescent="0.3">
      <c r="A47" s="1">
        <v>46</v>
      </c>
      <c r="B47" s="1">
        <v>6</v>
      </c>
      <c r="C47" s="4">
        <v>44092</v>
      </c>
      <c r="D47" s="1" t="s">
        <v>200</v>
      </c>
      <c r="E47" s="1" t="s">
        <v>263</v>
      </c>
    </row>
    <row r="48" spans="1:5" x14ac:dyDescent="0.3">
      <c r="A48" s="1">
        <v>47</v>
      </c>
      <c r="B48" s="1">
        <v>2</v>
      </c>
      <c r="C48" s="4">
        <v>44093</v>
      </c>
      <c r="D48" s="1" t="s">
        <v>264</v>
      </c>
      <c r="E48" s="1" t="s">
        <v>265</v>
      </c>
    </row>
    <row r="49" spans="1:5" x14ac:dyDescent="0.3">
      <c r="A49" s="1">
        <v>48</v>
      </c>
      <c r="B49" s="1">
        <v>3</v>
      </c>
      <c r="C49" s="4">
        <v>44094</v>
      </c>
      <c r="D49" s="1" t="s">
        <v>266</v>
      </c>
      <c r="E49" s="1" t="s">
        <v>267</v>
      </c>
    </row>
    <row r="50" spans="1:5" x14ac:dyDescent="0.3">
      <c r="A50" s="1">
        <v>49</v>
      </c>
      <c r="B50" s="1">
        <v>1</v>
      </c>
      <c r="C50" s="4">
        <v>44095</v>
      </c>
      <c r="D50" s="1" t="s">
        <v>212</v>
      </c>
      <c r="E50" s="1" t="s">
        <v>268</v>
      </c>
    </row>
    <row r="51" spans="1:5" x14ac:dyDescent="0.3">
      <c r="A51" s="1">
        <v>50</v>
      </c>
      <c r="B51" s="1">
        <v>5</v>
      </c>
      <c r="C51" s="4">
        <v>44096</v>
      </c>
      <c r="D51" s="1" t="s">
        <v>269</v>
      </c>
      <c r="E51" s="1" t="s">
        <v>270</v>
      </c>
    </row>
    <row r="52" spans="1:5" x14ac:dyDescent="0.3">
      <c r="A52" s="1">
        <v>51</v>
      </c>
      <c r="B52" s="1">
        <v>4</v>
      </c>
      <c r="C52" s="4">
        <v>44059</v>
      </c>
      <c r="D52" s="1" t="s">
        <v>271</v>
      </c>
      <c r="E52" s="1" t="s">
        <v>272</v>
      </c>
    </row>
    <row r="53" spans="1:5" x14ac:dyDescent="0.3">
      <c r="A53" s="1">
        <v>52</v>
      </c>
      <c r="B53" s="1">
        <v>9</v>
      </c>
      <c r="C53" s="4">
        <v>44099</v>
      </c>
      <c r="D53" s="1" t="s">
        <v>200</v>
      </c>
      <c r="E53" s="1" t="s">
        <v>273</v>
      </c>
    </row>
    <row r="54" spans="1:5" x14ac:dyDescent="0.3">
      <c r="A54" s="1">
        <v>53</v>
      </c>
      <c r="B54" s="1">
        <v>7</v>
      </c>
      <c r="C54" s="4">
        <v>44087</v>
      </c>
      <c r="D54" s="1" t="s">
        <v>274</v>
      </c>
      <c r="E54" s="1" t="s">
        <v>275</v>
      </c>
    </row>
    <row r="55" spans="1:5" x14ac:dyDescent="0.3">
      <c r="A55" s="1">
        <v>54</v>
      </c>
      <c r="B55" s="1">
        <v>9</v>
      </c>
      <c r="C55" s="4">
        <v>44115</v>
      </c>
      <c r="D55" s="1" t="s">
        <v>106</v>
      </c>
      <c r="E55" s="1" t="s">
        <v>276</v>
      </c>
    </row>
    <row r="56" spans="1:5" x14ac:dyDescent="0.3">
      <c r="A56" s="1">
        <v>55</v>
      </c>
      <c r="B56" s="1">
        <v>6</v>
      </c>
      <c r="C56" s="4">
        <v>44165</v>
      </c>
      <c r="D56" s="1" t="s">
        <v>277</v>
      </c>
      <c r="E56" s="1" t="s">
        <v>278</v>
      </c>
    </row>
    <row r="57" spans="1:5" x14ac:dyDescent="0.3">
      <c r="A57" s="1">
        <v>56</v>
      </c>
      <c r="B57" s="1">
        <v>4</v>
      </c>
      <c r="C57" s="4">
        <v>44103</v>
      </c>
      <c r="D57" s="1" t="s">
        <v>91</v>
      </c>
      <c r="E57" s="1" t="s">
        <v>279</v>
      </c>
    </row>
    <row r="58" spans="1:5" x14ac:dyDescent="0.3">
      <c r="A58" s="1">
        <v>57</v>
      </c>
      <c r="B58" s="1">
        <v>5</v>
      </c>
      <c r="C58" s="4">
        <v>44048</v>
      </c>
      <c r="D58" s="1" t="s">
        <v>200</v>
      </c>
      <c r="E58" s="1" t="s">
        <v>280</v>
      </c>
    </row>
    <row r="59" spans="1:5" x14ac:dyDescent="0.3">
      <c r="A59" s="1">
        <v>58</v>
      </c>
      <c r="B59" s="1">
        <v>4</v>
      </c>
      <c r="C59" s="4">
        <v>44080</v>
      </c>
      <c r="D59" s="1" t="s">
        <v>200</v>
      </c>
      <c r="E59" s="1" t="s">
        <v>281</v>
      </c>
    </row>
    <row r="60" spans="1:5" x14ac:dyDescent="0.3">
      <c r="A60" s="1">
        <v>59</v>
      </c>
      <c r="B60" s="1">
        <v>3</v>
      </c>
      <c r="C60" s="4">
        <v>44131</v>
      </c>
      <c r="D60" s="1" t="s">
        <v>282</v>
      </c>
      <c r="E60" s="1" t="s">
        <v>283</v>
      </c>
    </row>
    <row r="61" spans="1:5" x14ac:dyDescent="0.3">
      <c r="A61" s="1">
        <v>60</v>
      </c>
      <c r="B61" s="1">
        <v>1</v>
      </c>
      <c r="C61" s="4">
        <v>44120</v>
      </c>
      <c r="D61" s="1" t="s">
        <v>284</v>
      </c>
      <c r="E61" s="1" t="s">
        <v>285</v>
      </c>
    </row>
    <row r="62" spans="1:5" x14ac:dyDescent="0.3">
      <c r="A62" s="1">
        <v>61</v>
      </c>
      <c r="B62" s="1">
        <v>7</v>
      </c>
      <c r="C62" s="4">
        <v>44069</v>
      </c>
      <c r="D62" s="1" t="s">
        <v>286</v>
      </c>
      <c r="E62" s="1" t="s">
        <v>287</v>
      </c>
    </row>
    <row r="63" spans="1:5" x14ac:dyDescent="0.3">
      <c r="A63" s="1">
        <v>62</v>
      </c>
      <c r="B63" s="1">
        <v>8</v>
      </c>
      <c r="C63" s="4">
        <v>44092</v>
      </c>
      <c r="D63" s="1" t="s">
        <v>91</v>
      </c>
      <c r="E63" s="1" t="s">
        <v>288</v>
      </c>
    </row>
  </sheetData>
  <phoneticPr fontId="1" type="noConversion"/>
  <conditionalFormatting sqref="A2:E1048576">
    <cfRule type="expression" dxfId="0" priority="1">
      <formula>$A2&lt;&gt;""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08D068-3F03-4306-9093-6CE0183D787D}">
  <sheetPr codeName="Sheet7"/>
  <dimension ref="A1"/>
  <sheetViews>
    <sheetView showGridLines="0" workbookViewId="0">
      <selection activeCell="G15" sqref="G15"/>
    </sheetView>
  </sheetViews>
  <sheetFormatPr defaultRowHeight="16.5" x14ac:dyDescent="0.3"/>
  <sheetData/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AD46F-7DB6-4A54-9C69-3CBE79896E62}">
  <sheetPr codeName="Sheet8"/>
  <dimension ref="A1"/>
  <sheetViews>
    <sheetView showGridLines="0" showWhiteSpace="0" zoomScaleNormal="100" workbookViewId="0">
      <selection activeCell="B35" sqref="B35"/>
    </sheetView>
  </sheetViews>
  <sheetFormatPr defaultRowHeight="16.5" x14ac:dyDescent="0.3"/>
  <cols>
    <col min="7" max="8" width="9" customWidth="1"/>
  </cols>
  <sheetData/>
  <phoneticPr fontId="1" type="noConversion"/>
  <pageMargins left="0.7" right="0.7" top="0.75" bottom="0.75" header="0.3" footer="0.3"/>
  <pageSetup paperSize="9" orientation="portrait" horizontalDpi="4294967292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6</vt:i4>
      </vt:variant>
    </vt:vector>
  </HeadingPairs>
  <TitlesOfParts>
    <vt:vector size="14" baseType="lpstr">
      <vt:lpstr>Main</vt:lpstr>
      <vt:lpstr>회원정보</vt:lpstr>
      <vt:lpstr>회원친구관계</vt:lpstr>
      <vt:lpstr>기념일정보</vt:lpstr>
      <vt:lpstr>일정기록</vt:lpstr>
      <vt:lpstr>d-day기록</vt:lpstr>
      <vt:lpstr>차트</vt:lpstr>
      <vt:lpstr>D-day</vt:lpstr>
      <vt:lpstr>Main!Criteria</vt:lpstr>
      <vt:lpstr>회원친구관계!Criteria</vt:lpstr>
      <vt:lpstr>회원친구관계!Extract</vt:lpstr>
      <vt:lpstr>날짜판별</vt:lpstr>
      <vt:lpstr>카테고리</vt:lpstr>
      <vt:lpstr>회원번호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cp:lastPrinted>2021-02-08T22:02:24Z</cp:lastPrinted>
  <dcterms:created xsi:type="dcterms:W3CDTF">2021-02-08T14:24:17Z</dcterms:created>
  <dcterms:modified xsi:type="dcterms:W3CDTF">2021-02-11T02:18:25Z</dcterms:modified>
</cp:coreProperties>
</file>